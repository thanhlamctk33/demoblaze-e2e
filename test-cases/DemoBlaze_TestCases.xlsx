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Login" sheetId="2" state="visible" r:id="rId4"/>
    <sheet name="Cart" sheetId="3" state="visible" r:id="rId5"/>
    <sheet name="Place Order" sheetId="4" state="visible" r:id="rId6"/>
    <sheet name="API &amp; Performance" sheetId="5" state="visible" r:id="rId7"/>
    <sheet name="Defects &amp; Observations" sheetId="6" state="visible" r:id="rId8"/>
  </sheets>
  <definedNames>
    <definedName function="false" hidden="true" localSheetId="4" name="_xlnm._FilterDatabase" vbProcedure="false">'API &amp; Performance'!$A$1:$N$14</definedName>
    <definedName function="false" hidden="true" localSheetId="2" name="_xlnm._FilterDatabase" vbProcedure="false">Cart!$A$1:$N$22</definedName>
    <definedName function="false" hidden="true" localSheetId="1" name="_xlnm._FilterDatabase" vbProcedure="false">Login!$A$1:$N$26</definedName>
    <definedName function="false" hidden="true" localSheetId="3" name="_xlnm._FilterDatabase" vbProcedure="false">'Place Order'!$A$1:$N$18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<sst xmlns="http://schemas.openxmlformats.org/spreadsheetml/2006/main" count="1104" uniqueCount="534">
  <si>
    <t xml:space="preserve">DemoBlaze — Test Case Suite (Login, Cart, Place Order)</t>
  </si>
  <si>
    <t xml:space="preserve">Application</t>
  </si>
  <si>
    <t xml:space="preserve">https://www.demoblaze.com</t>
  </si>
  <si>
    <t xml:space="preserve">Scope</t>
  </si>
  <si>
    <t xml:space="preserve">Login (incl. sign-up / logout), Cart, Place Order; supporting API &amp; performance checks</t>
  </si>
  <si>
    <t xml:space="preserve">Automation repo</t>
  </si>
  <si>
    <t xml:space="preserve">Specs referenced in column 'Automated In' (Playwright + TypeScript)</t>
  </si>
  <si>
    <t xml:space="preserve">Test IDs</t>
  </si>
  <si>
    <t xml:space="preserve">TC IDs appear in automated test titles, e.g. [TC-ORDER-001], for traceability</t>
  </si>
  <si>
    <t xml:space="preserve">Automation legend</t>
  </si>
  <si>
    <t xml:space="preserve">Automated = in the suite · Candidate = good next automation target · Manual = exploratory / not cost-effective to automate</t>
  </si>
  <si>
    <t xml:space="preserve">Known-bug tests</t>
  </si>
  <si>
    <t xml:space="preserve">Tagged @known-bug and marked test.fail(): they pass while the defect exists and alert the team when it is fixed</t>
  </si>
  <si>
    <t xml:space="preserve">How to use</t>
  </si>
  <si>
    <t xml:space="preserve">Fill 'Status' (dropdown) and 'Actual Result / Notes' during execution; this summary updates automatically</t>
  </si>
  <si>
    <t xml:space="preserve">Module</t>
  </si>
  <si>
    <t xml:space="preserve">Total</t>
  </si>
  <si>
    <t xml:space="preserve">P1</t>
  </si>
  <si>
    <t xml:space="preserve">P2</t>
  </si>
  <si>
    <t xml:space="preserve">P3</t>
  </si>
  <si>
    <t xml:space="preserve">Functional</t>
  </si>
  <si>
    <t xml:space="preserve">Negative</t>
  </si>
  <si>
    <t xml:space="preserve">Edge</t>
  </si>
  <si>
    <t xml:space="preserve">Other types</t>
  </si>
  <si>
    <t xml:space="preserve">Automated</t>
  </si>
  <si>
    <t xml:space="preserve">Candidate</t>
  </si>
  <si>
    <t xml:space="preserve">Manual</t>
  </si>
  <si>
    <t xml:space="preserve">Automation %</t>
  </si>
  <si>
    <t xml:space="preserve">Pass</t>
  </si>
  <si>
    <t xml:space="preserve">Fail</t>
  </si>
  <si>
    <t xml:space="preserve">Not Run</t>
  </si>
  <si>
    <t xml:space="preserve">Login</t>
  </si>
  <si>
    <t xml:space="preserve">Cart</t>
  </si>
  <si>
    <t xml:space="preserve">Place Order</t>
  </si>
  <si>
    <t xml:space="preserve">API &amp; Performance</t>
  </si>
  <si>
    <t xml:space="preserve">TOTAL</t>
  </si>
  <si>
    <t xml:space="preserve">TC ID</t>
  </si>
  <si>
    <t xml:space="preserve">Scenario</t>
  </si>
  <si>
    <t xml:space="preserve">Title</t>
  </si>
  <si>
    <t xml:space="preserve">Type</t>
  </si>
  <si>
    <t xml:space="preserve">Priority</t>
  </si>
  <si>
    <t xml:space="preserve">Preconditions</t>
  </si>
  <si>
    <t xml:space="preserve">Test Data</t>
  </si>
  <si>
    <t xml:space="preserve">Steps</t>
  </si>
  <si>
    <t xml:space="preserve">Expected Result</t>
  </si>
  <si>
    <t xml:space="preserve">Automation</t>
  </si>
  <si>
    <t xml:space="preserve">Automated In</t>
  </si>
  <si>
    <t xml:space="preserve">Tags</t>
  </si>
  <si>
    <t xml:space="preserve">Status</t>
  </si>
  <si>
    <t xml:space="preserve">Actual Result / Notes</t>
  </si>
  <si>
    <t xml:space="preserve">TC-LOGIN-001</t>
  </si>
  <si>
    <t xml:space="preserve">Valid login</t>
  </si>
  <si>
    <t xml:space="preserve">Log in with valid credentials</t>
  </si>
  <si>
    <t xml:space="preserve">A registered user exists (auto-provisioned via API by the framework)</t>
  </si>
  <si>
    <t xml:space="preserve">username / password of the registered user</t>
  </si>
  <si>
    <t xml:space="preserve">1. Open https://www.demoblaze.com
2. Click 'Log in' in the navbar
3. Enter valid username and password
4. Click 'Log in'</t>
  </si>
  <si>
    <t xml:space="preserve">Modal closes, page reloads; navbar shows 'Welcome &lt;username&gt;' and 'Log out'; 'Log in' and 'Sign up' are hidden.</t>
  </si>
  <si>
    <t xml:space="preserve">tests/ui/login.spec.ts</t>
  </si>
  <si>
    <t xml:space="preserve">@smoke @regression</t>
  </si>
  <si>
    <t xml:space="preserve">TC-LOGIN-002</t>
  </si>
  <si>
    <t xml:space="preserve">Invalid login</t>
  </si>
  <si>
    <t xml:space="preserve">Wrong password is rejected</t>
  </si>
  <si>
    <t xml:space="preserve">valid username, wrong password</t>
  </si>
  <si>
    <t xml:space="preserve">1. Open Log in modal
2. Enter valid username and an incorrect password
3. Click 'Log in'</t>
  </si>
  <si>
    <t xml:space="preserve">Alert 'Wrong password.' is shown; user stays logged out.</t>
  </si>
  <si>
    <t xml:space="preserve">@regression</t>
  </si>
  <si>
    <t xml:space="preserve">TC-LOGIN-003</t>
  </si>
  <si>
    <t xml:space="preserve">Unregistered username is rejected</t>
  </si>
  <si>
    <t xml:space="preserve">—</t>
  </si>
  <si>
    <t xml:space="preserve">random never-registered username</t>
  </si>
  <si>
    <t xml:space="preserve">1. Open Log in modal
2. Enter an unregistered username and any password
3. Click 'Log in'</t>
  </si>
  <si>
    <t xml:space="preserve">Alert 'User does not exist.' is shown; user stays logged out.</t>
  </si>
  <si>
    <t xml:space="preserve">TC-LOGIN-004</t>
  </si>
  <si>
    <t xml:space="preserve">Field validation</t>
  </si>
  <si>
    <t xml:space="preserve">Both fields empty</t>
  </si>
  <si>
    <t xml:space="preserve">username='' password=''</t>
  </si>
  <si>
    <t xml:space="preserve">1. Open Log in modal
2. Leave both fields empty
3. Click 'Log in'</t>
  </si>
  <si>
    <t xml:space="preserve">Alert 'Please fill out Username and Password.'; no login request succeeds.</t>
  </si>
  <si>
    <t xml:space="preserve">TC-LOGIN-005</t>
  </si>
  <si>
    <t xml:space="preserve">Username empty</t>
  </si>
  <si>
    <t xml:space="preserve">username='' password='anyPassword1'</t>
  </si>
  <si>
    <t xml:space="preserve">1. Open Log in modal
2. Fill only the password
3. Click 'Log in'</t>
  </si>
  <si>
    <t xml:space="preserve">Alert 'Please fill out Username and Password.'</t>
  </si>
  <si>
    <t xml:space="preserve">TC-LOGIN-006</t>
  </si>
  <si>
    <t xml:space="preserve">Password empty</t>
  </si>
  <si>
    <t xml:space="preserve">username='anyUser' password=''</t>
  </si>
  <si>
    <t xml:space="preserve">1. Open Log in modal
2. Fill only the username
3. Click 'Log in'</t>
  </si>
  <si>
    <t xml:space="preserve">TC-LOGIN-007</t>
  </si>
  <si>
    <t xml:space="preserve">UI / Security</t>
  </si>
  <si>
    <t xml:space="preserve">Password input is masked</t>
  </si>
  <si>
    <t xml:space="preserve">UI</t>
  </si>
  <si>
    <t xml:space="preserve">1. Open Log in modal
2. Type into the Password field</t>
  </si>
  <si>
    <t xml:space="preserve">Password field is type='password'; characters are masked.</t>
  </si>
  <si>
    <t xml:space="preserve">TC-LOGIN-008</t>
  </si>
  <si>
    <t xml:space="preserve">Session</t>
  </si>
  <si>
    <t xml:space="preserve">Session survives a page reload</t>
  </si>
  <si>
    <t xml:space="preserve">1. Log in with valid credentials
2. Reload the page (F5)</t>
  </si>
  <si>
    <t xml:space="preserve">User remains logged in ('Welcome &lt;username&gt;' still shown).</t>
  </si>
  <si>
    <t xml:space="preserve">TC-LOGIN-009</t>
  </si>
  <si>
    <t xml:space="preserve">Logout</t>
  </si>
  <si>
    <t xml:space="preserve">User can log out</t>
  </si>
  <si>
    <t xml:space="preserve">User is logged in</t>
  </si>
  <si>
    <t xml:space="preserve">1. Log in
2. Click 'Log out'</t>
  </si>
  <si>
    <t xml:space="preserve">User is redirected to home; 'Log in' / 'Sign up' visible, 'Welcome' and 'Log out' hidden.</t>
  </si>
  <si>
    <t xml:space="preserve">TC-LOGIN-010</t>
  </si>
  <si>
    <t xml:space="preserve">Modal behaviour</t>
  </si>
  <si>
    <t xml:space="preserve">Closing the modal does not log the user in</t>
  </si>
  <si>
    <t xml:space="preserve">valid credentials</t>
  </si>
  <si>
    <t xml:space="preserve">1. Open Log in modal
2. Fill valid credentials
3. Click 'Close' instead of 'Log in'</t>
  </si>
  <si>
    <t xml:space="preserve">Modal closes; user is still logged out.</t>
  </si>
  <si>
    <t xml:space="preserve">TC-LOGIN-011</t>
  </si>
  <si>
    <t xml:space="preserve">Security</t>
  </si>
  <si>
    <t xml:space="preserve">SQL-injection style input is treated as text</t>
  </si>
  <si>
    <t xml:space="preserve">username="' OR '1'='1' --" password="' OR '1'='1"</t>
  </si>
  <si>
    <t xml:space="preserve">1. Open Log in modal
2. Enter the injection payload in both fields
3. Click 'Log in'</t>
  </si>
  <si>
    <t xml:space="preserve">Alert 'User does not exist.'; no authentication bypass, no server error.</t>
  </si>
  <si>
    <t xml:space="preserve">@regression @security</t>
  </si>
  <si>
    <t xml:space="preserve">TC-LOGIN-012</t>
  </si>
  <si>
    <t xml:space="preserve">Sign up → Login</t>
  </si>
  <si>
    <t xml:space="preserve">A newly signed-up user can log in</t>
  </si>
  <si>
    <t xml:space="preserve">new unique username + password</t>
  </si>
  <si>
    <t xml:space="preserve">1. Click 'Sign up'
2. Register a new unique user
3. Accept 'Sign up successful.'
4. Log in with the new credentials</t>
  </si>
  <si>
    <t xml:space="preserve">Sign-up alert 'Sign up successful.'; login succeeds with 'Welcome &lt;username&gt;'.</t>
  </si>
  <si>
    <t xml:space="preserve">TC-LOGIN-013</t>
  </si>
  <si>
    <t xml:space="preserve">Sign up</t>
  </si>
  <si>
    <t xml:space="preserve">Duplicate username is rejected on sign up</t>
  </si>
  <si>
    <t xml:space="preserve">existing username</t>
  </si>
  <si>
    <t xml:space="preserve">1. Click 'Sign up'
2. Enter an already registered username
3. Click 'Sign up'</t>
  </si>
  <si>
    <t xml:space="preserve">Alert 'This user already exist.'</t>
  </si>
  <si>
    <t xml:space="preserve">TC-LOGIN-014</t>
  </si>
  <si>
    <t xml:space="preserve">Close login modal with the × icon / Esc</t>
  </si>
  <si>
    <t xml:space="preserve">1. Open Log in modal
2. Click the × icon
3. Re-open and press Esc</t>
  </si>
  <si>
    <t xml:space="preserve">Modal closes each time; page remains usable.</t>
  </si>
  <si>
    <t xml:space="preserve">TC-LOGIN-015</t>
  </si>
  <si>
    <t xml:space="preserve">Edge input</t>
  </si>
  <si>
    <t xml:space="preserve">Username with leading/trailing spaces</t>
  </si>
  <si>
    <t xml:space="preserve">'  &lt;username&gt;  '</t>
  </si>
  <si>
    <t xml:space="preserve">1. Open Log in modal
2. Enter the valid username padded with spaces + valid password
3. Click 'Log in'</t>
  </si>
  <si>
    <t xml:space="preserve">Behaviour is consistent and defined (either trimmed and accepted, or clearly rejected) — no confusing error.</t>
  </si>
  <si>
    <t xml:space="preserve">TC-LOGIN-016</t>
  </si>
  <si>
    <t xml:space="preserve">Username case sensitivity</t>
  </si>
  <si>
    <t xml:space="preserve">USERNAME in different case</t>
  </si>
  <si>
    <t xml:space="preserve">1. Open Log in modal
2. Enter the username with changed letter case + valid password
3. Click 'Log in'</t>
  </si>
  <si>
    <t xml:space="preserve">Matches product rule for usernames (case-sensitive → 'User does not exist.'). Document actual behaviour.</t>
  </si>
  <si>
    <t xml:space="preserve">TC-LOGIN-017</t>
  </si>
  <si>
    <t xml:space="preserve">Very long username / password (500+ chars)</t>
  </si>
  <si>
    <t xml:space="preserve">500-char strings</t>
  </si>
  <si>
    <t xml:space="preserve">1. Open Log in modal
2. Paste 500+ characters into both fields
3. Click 'Log in'</t>
  </si>
  <si>
    <t xml:space="preserve">Handled gracefully: an error alert, no hang, no layout break.</t>
  </si>
  <si>
    <t xml:space="preserve">TC-LOGIN-018</t>
  </si>
  <si>
    <t xml:space="preserve">Unicode credentials</t>
  </si>
  <si>
    <t xml:space="preserve">User registered with unicode username e.g. 'người_dùng'</t>
  </si>
  <si>
    <t xml:space="preserve">unicode username / password</t>
  </si>
  <si>
    <t xml:space="preserve">1. Sign up with a unicode username
2. Log in with it</t>
  </si>
  <si>
    <t xml:space="preserve">Login succeeds; welcome text renders unicode correctly.</t>
  </si>
  <si>
    <t xml:space="preserve">TC-LOGIN-019</t>
  </si>
  <si>
    <t xml:space="preserve">Script injection in username is not executed</t>
  </si>
  <si>
    <t xml:space="preserve">&lt;script&gt;alert(1)&lt;/script&gt;</t>
  </si>
  <si>
    <t xml:space="preserve">1. Sign up with the payload as username (if accepted)
2. Log in with it
3. Observe navbar</t>
  </si>
  <si>
    <t xml:space="preserve">No script executes; payload is rendered as plain text in 'Welcome …'.</t>
  </si>
  <si>
    <t xml:space="preserve">TC-LOGIN-020</t>
  </si>
  <si>
    <t xml:space="preserve">Usability</t>
  </si>
  <si>
    <t xml:space="preserve">Submit with Enter key</t>
  </si>
  <si>
    <t xml:space="preserve">1. Open Log in modal
2. Fill credentials
3. Press Enter in the password field</t>
  </si>
  <si>
    <t xml:space="preserve">Form submits (or behaviour documented if not supported).</t>
  </si>
  <si>
    <t xml:space="preserve">TC-LOGIN-021</t>
  </si>
  <si>
    <t xml:space="preserve">Robustness</t>
  </si>
  <si>
    <t xml:space="preserve">Double-click on 'Log in'</t>
  </si>
  <si>
    <t xml:space="preserve">1. Open Log in modal
2. Fill credentials
3. Double-click 'Log in' quickly</t>
  </si>
  <si>
    <t xml:space="preserve">Single successful login; no duplicate errors.</t>
  </si>
  <si>
    <t xml:space="preserve">TC-LOGIN-022</t>
  </si>
  <si>
    <t xml:space="preserve">Login state shared between tabs</t>
  </si>
  <si>
    <t xml:space="preserve">1. Log in in tab A
2. Open the site in tab B</t>
  </si>
  <si>
    <t xml:space="preserve">Tab B shows the user as logged in (cookie-based session).</t>
  </si>
  <si>
    <t xml:space="preserve">TC-LOGIN-023</t>
  </si>
  <si>
    <t xml:space="preserve">Repeated wrong passwords (brute force)</t>
  </si>
  <si>
    <t xml:space="preserve">10 wrong passwords in a row</t>
  </si>
  <si>
    <t xml:space="preserve">1. Attempt login 10× with wrong password</t>
  </si>
  <si>
    <t xml:space="preserve">Account lockout / throttling / CAPTCHA after N failures (security expectation). Record actual behaviour.</t>
  </si>
  <si>
    <t xml:space="preserve">TC-LOGIN-024</t>
  </si>
  <si>
    <t xml:space="preserve">Expired / tampered token</t>
  </si>
  <si>
    <t xml:space="preserve">User logged in</t>
  </si>
  <si>
    <t xml:space="preserve">edit 'tokenp_' cookie to a random value</t>
  </si>
  <si>
    <t xml:space="preserve">1. Log in
2. Change the 'tokenp_' cookie value in DevTools
3. Reload the page</t>
  </si>
  <si>
    <t xml:space="preserve">User treated as logged out or alert 'Bad parameter, token malformed.' / 'Your token has expired, please login again.'</t>
  </si>
  <si>
    <t xml:space="preserve">TC-LOGIN-025</t>
  </si>
  <si>
    <t xml:space="preserve">Compatibility</t>
  </si>
  <si>
    <t xml:space="preserve">Login works on Chrome, Firefox, Safari and mobile</t>
  </si>
  <si>
    <t xml:space="preserve">1. Run TC-LOGIN-001 and TC-LOGIN-009 on each browser / device</t>
  </si>
  <si>
    <t xml:space="preserve">Same behaviour on all targets (hamburger menu used on mobile).</t>
  </si>
  <si>
    <t xml:space="preserve">playwright.config.ts (projects)</t>
  </si>
  <si>
    <t xml:space="preserve">@smoke (mobile)</t>
  </si>
  <si>
    <t xml:space="preserve">TC-CART-001</t>
  </si>
  <si>
    <t xml:space="preserve">Add to cart</t>
  </si>
  <si>
    <t xml:space="preserve">Guest adds a product from the catalogue</t>
  </si>
  <si>
    <t xml:space="preserve">Guest (not logged in)</t>
  </si>
  <si>
    <t xml:space="preserve">Samsung galaxy s6</t>
  </si>
  <si>
    <t xml:space="preserve">1. Open home page
2. Click the product
3. Note the price
4. Click 'Add to cart'
5. Accept the alert
6. Open Cart</t>
  </si>
  <si>
    <t xml:space="preserve">Alert 'Product added' shown; cart has exactly 1 line with the same title and price; Total equals that price.</t>
  </si>
  <si>
    <t xml:space="preserve">tests/ui/cart.spec.ts</t>
  </si>
  <si>
    <t xml:space="preserve">TC-CART-002</t>
  </si>
  <si>
    <t xml:space="preserve">Empty cart</t>
  </si>
  <si>
    <t xml:space="preserve">Empty cart shows no lines and no total</t>
  </si>
  <si>
    <t xml:space="preserve">New guest session</t>
  </si>
  <si>
    <t xml:space="preserve">1. Open cart.html in a fresh session</t>
  </si>
  <si>
    <t xml:space="preserve">No product rows; Total is empty; 'Place Order' button visible.</t>
  </si>
  <si>
    <t xml:space="preserve">TC-CART-003</t>
  </si>
  <si>
    <t xml:space="preserve">Isolation</t>
  </si>
  <si>
    <t xml:space="preserve">Cart of one guest is not visible to another guest</t>
  </si>
  <si>
    <t xml:space="preserve">Two separate browser sessions</t>
  </si>
  <si>
    <t xml:space="preserve">Nexus 6</t>
  </si>
  <si>
    <t xml:space="preserve">1. Session A: add a product
2. Session B (new browser context): open Cart</t>
  </si>
  <si>
    <t xml:space="preserve">Session B cart is empty.</t>
  </si>
  <si>
    <t xml:space="preserve">TC-CART-004</t>
  </si>
  <si>
    <t xml:space="preserve">Logged-in user adds a product</t>
  </si>
  <si>
    <t xml:space="preserve">Nokia lumia 1520</t>
  </si>
  <si>
    <t xml:space="preserve">1. Log in
2. Open product page
3. Click 'Add to cart'
4. Open Cart</t>
  </si>
  <si>
    <t xml:space="preserve">Alert 'Product added.'; cart shows the product with correct title and price.</t>
  </si>
  <si>
    <t xml:space="preserve">TC-CART-005</t>
  </si>
  <si>
    <t xml:space="preserve">Total equals the sum of several different products</t>
  </si>
  <si>
    <t xml:space="preserve">User logged in, empty cart</t>
  </si>
  <si>
    <t xml:space="preserve">Samsung galaxy s6, Sony vaio i5, Apple monitor 24 (phone, laptop, monitor)</t>
  </si>
  <si>
    <t xml:space="preserve">1. Add the three products
2. Open Cart</t>
  </si>
  <si>
    <t xml:space="preserve">3 lines with the correct titles; Total = sum of the three product-page prices.</t>
  </si>
  <si>
    <t xml:space="preserve">TC-CART-006</t>
  </si>
  <si>
    <t xml:space="preserve">Quantity</t>
  </si>
  <si>
    <t xml:space="preserve">Adding the same product twice</t>
  </si>
  <si>
    <t xml:space="preserve">Nexus 6 ×2</t>
  </si>
  <si>
    <t xml:space="preserve">1. Add Nexus 6
2. Add Nexus 6 again
3. Open Cart</t>
  </si>
  <si>
    <t xml:space="preserve">Two separate lines (no quantity column); Total = 2 × price.</t>
  </si>
  <si>
    <t xml:space="preserve">TC-CART-007</t>
  </si>
  <si>
    <t xml:space="preserve">Delete</t>
  </si>
  <si>
    <t xml:space="preserve">Deleting a line updates the cart and total</t>
  </si>
  <si>
    <t xml:space="preserve">Cart has Samsung galaxy s6 + Apple monitor 24</t>
  </si>
  <si>
    <t xml:space="preserve">1. Open Cart
2. Click 'Delete' on Samsung galaxy s6</t>
  </si>
  <si>
    <t xml:space="preserve">Line removed after reload; only Apple monitor 24 remains; Total = its price.</t>
  </si>
  <si>
    <t xml:space="preserve">TC-CART-008</t>
  </si>
  <si>
    <t xml:space="preserve">Deleting the last line leaves an empty cart</t>
  </si>
  <si>
    <t xml:space="preserve">Cart has 1 item</t>
  </si>
  <si>
    <t xml:space="preserve">1. Open Cart
2. Delete the only line</t>
  </si>
  <si>
    <t xml:space="preserve">Cart empty; Total empty.</t>
  </si>
  <si>
    <t xml:space="preserve">TC-CART-009</t>
  </si>
  <si>
    <t xml:space="preserve">Persistence</t>
  </si>
  <si>
    <t xml:space="preserve">Cart persists across logout and login</t>
  </si>
  <si>
    <t xml:space="preserve">Sony vaio i5</t>
  </si>
  <si>
    <t xml:space="preserve">1. Add a product
2. Log out
3. Log in again
4. Open Cart</t>
  </si>
  <si>
    <t xml:space="preserve">The product is still in the cart (server-side cart).</t>
  </si>
  <si>
    <t xml:space="preserve">TC-CART-010</t>
  </si>
  <si>
    <t xml:space="preserve">Integration</t>
  </si>
  <si>
    <t xml:space="preserve">Items added via API are rendered in the UI cart</t>
  </si>
  <si>
    <t xml:space="preserve">2 products added via POST /addtocart</t>
  </si>
  <si>
    <t xml:space="preserve">1. Add products through the API
2. Open Cart in the UI</t>
  </si>
  <si>
    <t xml:space="preserve">UI shows both lines; Total = sum of their API prices.</t>
  </si>
  <si>
    <t xml:space="preserve">@regression @hybrid</t>
  </si>
  <si>
    <t xml:space="preserve">TC-CART-011</t>
  </si>
  <si>
    <t xml:space="preserve">Cart line layout</t>
  </si>
  <si>
    <t xml:space="preserve">Cart has items</t>
  </si>
  <si>
    <t xml:space="preserve">1. Open Cart
2. Inspect each row</t>
  </si>
  <si>
    <t xml:space="preserve">Each row shows Pic, Title, Price and a 'Delete' link; headers Pic/Title/Price/x.</t>
  </si>
  <si>
    <t xml:space="preserve">TC-CART-012</t>
  </si>
  <si>
    <t xml:space="preserve">Double-click 'Add to cart'</t>
  </si>
  <si>
    <t xml:space="preserve">any product</t>
  </si>
  <si>
    <t xml:space="preserve">1. Open product page
2. Double-click 'Add to cart' quickly
3. Open Cart</t>
  </si>
  <si>
    <t xml:space="preserve">Behaviour is defined: either 1 or 2 lines, matching the number of 'Product added' alerts.</t>
  </si>
  <si>
    <t xml:space="preserve">TC-CART-013</t>
  </si>
  <si>
    <t xml:space="preserve">Navigation</t>
  </si>
  <si>
    <t xml:space="preserve">Open cart via direct URL</t>
  </si>
  <si>
    <t xml:space="preserve">/cart.html</t>
  </si>
  <si>
    <t xml:space="preserve">1. Type https://www.demoblaze.com/cart.html in the address bar</t>
  </si>
  <si>
    <t xml:space="preserve">Cart loads with all lines and correct total.</t>
  </si>
  <si>
    <t xml:space="preserve">TC-CART-014</t>
  </si>
  <si>
    <t xml:space="preserve">Invalid product id</t>
  </si>
  <si>
    <t xml:space="preserve">prod.html?idp_=99999</t>
  </si>
  <si>
    <t xml:space="preserve">1. Open prod.html?idp_=99999
2. Click 'Add to cart' if shown
3. Open Cart</t>
  </si>
  <si>
    <t xml:space="preserve">Graceful 'not found' handling; no empty/undefined line added to the cart.</t>
  </si>
  <si>
    <t xml:space="preserve">TC-CART-015</t>
  </si>
  <si>
    <t xml:space="preserve">Network failure while adding</t>
  </si>
  <si>
    <t xml:space="preserve">DevTools → Offline</t>
  </si>
  <si>
    <t xml:space="preserve">1. Open product page
2. Go offline
3. Click 'Add to cart'</t>
  </si>
  <si>
    <t xml:space="preserve">User is informed the item was not added; no false 'Product added' alert.</t>
  </si>
  <si>
    <t xml:space="preserve">TC-CART-016</t>
  </si>
  <si>
    <t xml:space="preserve">Guest → login</t>
  </si>
  <si>
    <t xml:space="preserve">Guest cart after logging in</t>
  </si>
  <si>
    <t xml:space="preserve">Guest has items in cart</t>
  </si>
  <si>
    <t xml:space="preserve">1. As guest add an item
2. Log in
3. Open Cart</t>
  </si>
  <si>
    <t xml:space="preserve">Defined behaviour (merge or keep separate) — document actual result.</t>
  </si>
  <si>
    <t xml:space="preserve">TC-CART-017</t>
  </si>
  <si>
    <t xml:space="preserve">Volume</t>
  </si>
  <si>
    <t xml:space="preserve">Large cart (20+ lines)</t>
  </si>
  <si>
    <t xml:space="preserve">20 products</t>
  </si>
  <si>
    <t xml:space="preserve">1. Add 20 items (API seeding)
2. Open Cart</t>
  </si>
  <si>
    <t xml:space="preserve">All lines render; Total correct; page loads within performance budget.</t>
  </si>
  <si>
    <t xml:space="preserve">TC-CART-018</t>
  </si>
  <si>
    <t xml:space="preserve">Deleting one of two identical lines</t>
  </si>
  <si>
    <t xml:space="preserve">Cart has Nexus 6 ×2</t>
  </si>
  <si>
    <t xml:space="preserve">1. Open Cart
2. Delete one Nexus 6 line</t>
  </si>
  <si>
    <t xml:space="preserve">Exactly one Nexus 6 line remains.</t>
  </si>
  <si>
    <t xml:space="preserve">TC-CART-019</t>
  </si>
  <si>
    <t xml:space="preserve">Consistency</t>
  </si>
  <si>
    <t xml:space="preserve">Cart in two tabs</t>
  </si>
  <si>
    <t xml:space="preserve">1. Open Cart in tabs A and B
2. Delete an item in A
3. Reload B</t>
  </si>
  <si>
    <t xml:space="preserve">B reflects the deletion after reload.</t>
  </si>
  <si>
    <t xml:space="preserve">TC-CART-020</t>
  </si>
  <si>
    <t xml:space="preserve">Guest session</t>
  </si>
  <si>
    <t xml:space="preserve">Guest cart after clearing cookies</t>
  </si>
  <si>
    <t xml:space="preserve">Guest has items</t>
  </si>
  <si>
    <t xml:space="preserve">1. Clear site cookies
2. Open Cart</t>
  </si>
  <si>
    <t xml:space="preserve">Cart is empty (guest cart tied to cookie).</t>
  </si>
  <si>
    <t xml:space="preserve">TC-CART-021</t>
  </si>
  <si>
    <t xml:space="preserve">Add to cart on all browsers / mobile</t>
  </si>
  <si>
    <t xml:space="preserve">1. Run TC-CART-001 and TC-CART-004 on every project</t>
  </si>
  <si>
    <t xml:space="preserve">Same behaviour on Chromium, Firefox, WebKit, Pixel 7, iPhone 14.</t>
  </si>
  <si>
    <t xml:space="preserve">@smoke</t>
  </si>
  <si>
    <t xml:space="preserve">TC-ORDER-001</t>
  </si>
  <si>
    <t xml:space="preserve">E2E (demo)</t>
  </si>
  <si>
    <t xml:space="preserve">Logged-in user adds a product and places an order</t>
  </si>
  <si>
    <t xml:space="preserve">Registered user, empty cart</t>
  </si>
  <si>
    <t xml:space="preserve">Samsung galaxy s6; order form: name, country, city, card 4111111111111111, month, year</t>
  </si>
  <si>
    <t xml:space="preserve">1. Log in with valid credentials
2. Open Samsung galaxy s6, note price
3. Add to cart
4. Open Cart; verify line and total
5. Click 'Place Order'; verify modal total
6. Fill form and click 'Purchase'
7. Verify receipt; click OK
8. Re-open Cart</t>
  </si>
  <si>
    <t xml:space="preserve">Receipt 'Thank you for your purchase!' with numeric Id, Amount = cart total, Name = entered name, card last 4 digits, today's date; OK returns to home; cart is now empty.</t>
  </si>
  <si>
    <t xml:space="preserve">tests/ui/checkout.spec.ts</t>
  </si>
  <si>
    <t xml:space="preserve">@smoke @regression @e2e</t>
  </si>
  <si>
    <t xml:space="preserve">TC-ORDER-002</t>
  </si>
  <si>
    <t xml:space="preserve">Checkout</t>
  </si>
  <si>
    <t xml:space="preserve">Guest orders several products</t>
  </si>
  <si>
    <t xml:space="preserve">Guest</t>
  </si>
  <si>
    <t xml:space="preserve">Nexus 6 + Apple monitor 24</t>
  </si>
  <si>
    <t xml:space="preserve">1. Add two products as guest
2. Open Cart
3. Place Order with valid data</t>
  </si>
  <si>
    <t xml:space="preserve">Receipt Amount = sum of both prices.</t>
  </si>
  <si>
    <t xml:space="preserve">TC-ORDER-003</t>
  </si>
  <si>
    <t xml:space="preserve">Only mandatory fields filled (Name, Credit card)</t>
  </si>
  <si>
    <t xml:space="preserve">country/city/month/year empty</t>
  </si>
  <si>
    <t xml:space="preserve">1. Open Place Order
2. Fill only Name and Credit card
3. Click 'Purchase'</t>
  </si>
  <si>
    <t xml:space="preserve">Order succeeds; receipt shows the entered name.</t>
  </si>
  <si>
    <t xml:space="preserve">TC-ORDER-004</t>
  </si>
  <si>
    <t xml:space="preserve">Validation</t>
  </si>
  <si>
    <t xml:space="preserve">Name empty</t>
  </si>
  <si>
    <t xml:space="preserve">name=''</t>
  </si>
  <si>
    <t xml:space="preserve">1. Open Place Order
2. Fill everything except Name
3. Click 'Purchase'</t>
  </si>
  <si>
    <t xml:space="preserve">Alert 'Please fill out Name and Creditcard.'; no receipt; cart unchanged.</t>
  </si>
  <si>
    <t xml:space="preserve">TC-ORDER-005</t>
  </si>
  <si>
    <t xml:space="preserve">Credit card empty</t>
  </si>
  <si>
    <t xml:space="preserve">card=''</t>
  </si>
  <si>
    <t xml:space="preserve">1. Open Place Order
2. Fill everything except Credit card
3. Click 'Purchase'</t>
  </si>
  <si>
    <t xml:space="preserve">TC-ORDER-006</t>
  </si>
  <si>
    <t xml:space="preserve">All fields empty</t>
  </si>
  <si>
    <t xml:space="preserve">all empty</t>
  </si>
  <si>
    <t xml:space="preserve">1. Open Place Order
2. Click 'Purchase' without filling anything</t>
  </si>
  <si>
    <t xml:space="preserve">Validation alert; no receipt; cart unchanged.</t>
  </si>
  <si>
    <t xml:space="preserve">TC-ORDER-007</t>
  </si>
  <si>
    <t xml:space="preserve">Name is whitespace only</t>
  </si>
  <si>
    <t xml:space="preserve">name='   '</t>
  </si>
  <si>
    <t xml:space="preserve">1. Open Place Order
2. Enter spaces as Name, valid card
3. Click 'Purchase'</t>
  </si>
  <si>
    <t xml:space="preserve">Order is rejected like an empty name.</t>
  </si>
  <si>
    <t xml:space="preserve">@known-bug</t>
  </si>
  <si>
    <t xml:space="preserve">TC-ORDER-008</t>
  </si>
  <si>
    <t xml:space="preserve">Validation message text</t>
  </si>
  <si>
    <t xml:space="preserve">name='' card=''</t>
  </si>
  <si>
    <t xml:space="preserve">1. Open Place Order
2. Click 'Purchase'</t>
  </si>
  <si>
    <t xml:space="preserve">Alert text is exactly 'Please fill out Name and Creditcard.'</t>
  </si>
  <si>
    <t xml:space="preserve">TC-ORDER-009</t>
  </si>
  <si>
    <t xml:space="preserve">Closing the order form keeps the cart</t>
  </si>
  <si>
    <t xml:space="preserve">valid data</t>
  </si>
  <si>
    <t xml:space="preserve">1. Open Place Order
2. Fill the form
3. Click 'Close'
4. Reload Cart</t>
  </si>
  <si>
    <t xml:space="preserve">No order placed; cart still has the item.</t>
  </si>
  <si>
    <t xml:space="preserve">TC-ORDER-010</t>
  </si>
  <si>
    <t xml:space="preserve">Unicode / special characters in name</t>
  </si>
  <si>
    <t xml:space="preserve">Nguyễn Văn Ánh &lt;b&gt;&amp;"'</t>
  </si>
  <si>
    <t xml:space="preserve">1. Place an order with the special-character name</t>
  </si>
  <si>
    <t xml:space="preserve">Receipt shows the name exactly as typed; no HTML is rendered/executed.</t>
  </si>
  <si>
    <t xml:space="preserve">TC-ORDER-011</t>
  </si>
  <si>
    <t xml:space="preserve">Receipt</t>
  </si>
  <si>
    <t xml:space="preserve">Receipt date shows the current month</t>
  </si>
  <si>
    <t xml:space="preserve">1. Place an order
2. Read 'Date' on the receipt</t>
  </si>
  <si>
    <t xml:space="preserve">Date = today's day/month/year.</t>
  </si>
  <si>
    <t xml:space="preserve">TC-ORDER-012</t>
  </si>
  <si>
    <t xml:space="preserve">Order with an empty cart</t>
  </si>
  <si>
    <t xml:space="preserve">valid form data</t>
  </si>
  <si>
    <t xml:space="preserve">1. Open empty Cart
2. Click 'Place Order'
3. Fill valid data, click 'Purchase'</t>
  </si>
  <si>
    <t xml:space="preserve">Order is blocked (nothing to buy).</t>
  </si>
  <si>
    <t xml:space="preserve">TC-ORDER-013</t>
  </si>
  <si>
    <t xml:space="preserve">Credit card must be numeric</t>
  </si>
  <si>
    <t xml:space="preserve">card='not-a-card'</t>
  </si>
  <si>
    <t xml:space="preserve">1. Place an order with a non-numeric card</t>
  </si>
  <si>
    <t xml:space="preserve">Validation error; order not placed.</t>
  </si>
  <si>
    <t xml:space="preserve">TC-ORDER-014</t>
  </si>
  <si>
    <t xml:space="preserve">Receipt masks the card number</t>
  </si>
  <si>
    <t xml:space="preserve">card 4111111111111111</t>
  </si>
  <si>
    <t xml:space="preserve">1. Place an order
2. Inspect 'Card Number' on the receipt</t>
  </si>
  <si>
    <t xml:space="preserve">Only the last 4 digits are shown (e.g. **** 1111).</t>
  </si>
  <si>
    <t xml:space="preserve">TC-ORDER-015</t>
  </si>
  <si>
    <t xml:space="preserve">Invalid month / year values</t>
  </si>
  <si>
    <t xml:space="preserve">month=13, year=1999</t>
  </si>
  <si>
    <t xml:space="preserve">1. Enter invalid month and a past year
2. Click 'Purchase'</t>
  </si>
  <si>
    <t xml:space="preserve">Validation error for expiry date.</t>
  </si>
  <si>
    <t xml:space="preserve">TC-ORDER-016</t>
  </si>
  <si>
    <t xml:space="preserve">Double-click 'Purchase'</t>
  </si>
  <si>
    <t xml:space="preserve">1. Fill valid data
2. Double-click 'Purchase'</t>
  </si>
  <si>
    <t xml:space="preserve">Only one order/receipt is created.</t>
  </si>
  <si>
    <t xml:space="preserve">TC-ORDER-017</t>
  </si>
  <si>
    <t xml:space="preserve">Very long input values</t>
  </si>
  <si>
    <t xml:space="preserve">300-char name, 50-digit card</t>
  </si>
  <si>
    <t xml:space="preserve">1. Fill the form with very long values
2. Click 'Purchase'</t>
  </si>
  <si>
    <t xml:space="preserve">Handled gracefully: validation or truncation, receipt layout not broken.</t>
  </si>
  <si>
    <t xml:space="preserve">TC-API-001</t>
  </si>
  <si>
    <t xml:space="preserve">Auth API</t>
  </si>
  <si>
    <t xml:space="preserve">Sign up then log in returns an auth token</t>
  </si>
  <si>
    <t xml:space="preserve">new unique user</t>
  </si>
  <si>
    <t xml:space="preserve">1. POST /signup
2. POST /login</t>
  </si>
  <si>
    <t xml:space="preserve">Signup has no errorMessage; login returns 'Auth_token: &lt;token&gt;'.</t>
  </si>
  <si>
    <t xml:space="preserve">tests/api/auth.api.spec.ts</t>
  </si>
  <si>
    <t xml:space="preserve">@api @smoke</t>
  </si>
  <si>
    <t xml:space="preserve">TC-API-002</t>
  </si>
  <si>
    <t xml:space="preserve">Duplicate sign-up is rejected</t>
  </si>
  <si>
    <t xml:space="preserve">1. POST /signup with an existing username</t>
  </si>
  <si>
    <t xml:space="preserve">errorMessage 'This user already exist.'</t>
  </si>
  <si>
    <t xml:space="preserve">@api</t>
  </si>
  <si>
    <t xml:space="preserve">TC-API-003</t>
  </si>
  <si>
    <t xml:space="preserve">Wrong password</t>
  </si>
  <si>
    <t xml:space="preserve">wrong password</t>
  </si>
  <si>
    <t xml:space="preserve">1. POST /login with wrong password</t>
  </si>
  <si>
    <t xml:space="preserve">errorMessage 'Wrong password.'</t>
  </si>
  <si>
    <t xml:space="preserve">TC-API-004</t>
  </si>
  <si>
    <t xml:space="preserve">Unknown user</t>
  </si>
  <si>
    <t xml:space="preserve">random username</t>
  </si>
  <si>
    <t xml:space="preserve">1. POST /login</t>
  </si>
  <si>
    <t xml:space="preserve">errorMessage 'User does not exist.'</t>
  </si>
  <si>
    <t xml:space="preserve">TC-API-005</t>
  </si>
  <si>
    <t xml:space="preserve">Catalog API</t>
  </si>
  <si>
    <t xml:space="preserve">/entries contract</t>
  </si>
  <si>
    <t xml:space="preserve">1. GET /entries</t>
  </si>
  <si>
    <t xml:space="preserve">200; Items[] non-empty; each has id, title, price&gt;0, cat∈{phone,notebook,monitor}, desc, img.</t>
  </si>
  <si>
    <t xml:space="preserve">tests/api/catalog-cart.api.spec.ts</t>
  </si>
  <si>
    <t xml:space="preserve">TC-API-006</t>
  </si>
  <si>
    <t xml:space="preserve">/view returns the requested product</t>
  </si>
  <si>
    <t xml:space="preserve">id=1</t>
  </si>
  <si>
    <t xml:space="preserve">1. POST /view {id:1}</t>
  </si>
  <si>
    <t xml:space="preserve">Title 'Samsung galaxy s6' and valid contract.</t>
  </si>
  <si>
    <t xml:space="preserve">TC-API-007</t>
  </si>
  <si>
    <t xml:space="preserve">/bycat filters by category</t>
  </si>
  <si>
    <t xml:space="preserve">cat=phone</t>
  </si>
  <si>
    <t xml:space="preserve">1. POST /bycat {cat:'phone'}</t>
  </si>
  <si>
    <t xml:space="preserve">All items have cat='phone'.</t>
  </si>
  <si>
    <t xml:space="preserve">TC-API-008</t>
  </si>
  <si>
    <t xml:space="preserve">Cart API</t>
  </si>
  <si>
    <t xml:space="preserve">Add, view and delete a cart line</t>
  </si>
  <si>
    <t xml:space="preserve">Logged-in token, empty cart</t>
  </si>
  <si>
    <t xml:space="preserve">1. POST /addtocart
2. POST /viewcart
3. POST /deleteitem
4. POST /viewcart</t>
  </si>
  <si>
    <t xml:space="preserve">Line present after add, gone after delete.</t>
  </si>
  <si>
    <t xml:space="preserve">TC-API-009</t>
  </si>
  <si>
    <t xml:space="preserve">Each add creates a separate line</t>
  </si>
  <si>
    <t xml:space="preserve">1. POST /addtocart twice
2. POST /viewcart</t>
  </si>
  <si>
    <t xml:space="preserve">2 lines with distinct ids.</t>
  </si>
  <si>
    <t xml:space="preserve">TC-PERF-001</t>
  </si>
  <si>
    <t xml:space="preserve">Performance</t>
  </si>
  <si>
    <t xml:space="preserve">Home page load budget</t>
  </si>
  <si>
    <t xml:space="preserve">budget PERF_PAGE_LOAD_MS / PERF_PRODUCTS_RENDERED_MS</t>
  </si>
  <si>
    <t xml:space="preserve">1. Navigate to home
2. Collect Navigation Timing + time to product grid</t>
  </si>
  <si>
    <t xml:space="preserve">load &lt; 5s; grid visible &lt; 6s (configurable). Metrics attached to the report.</t>
  </si>
  <si>
    <t xml:space="preserve">tests/perf/performance.perf.spec.ts</t>
  </si>
  <si>
    <t xml:space="preserve">@perf</t>
  </si>
  <si>
    <t xml:space="preserve">TC-PERF-002</t>
  </si>
  <si>
    <t xml:space="preserve">/entries latency p50</t>
  </si>
  <si>
    <t xml:space="preserve">5 calls</t>
  </si>
  <si>
    <t xml:space="preserve">1. Call GET /entries 5 times</t>
  </si>
  <si>
    <t xml:space="preserve">p50 &lt; 2s (configurable).</t>
  </si>
  <si>
    <t xml:space="preserve">TC-PERF-003</t>
  </si>
  <si>
    <t xml:space="preserve">/login latency</t>
  </si>
  <si>
    <t xml:space="preserve">Response &lt; 2s (configurable).</t>
  </si>
  <si>
    <t xml:space="preserve">TC-PERF-004</t>
  </si>
  <si>
    <t xml:space="preserve">Load</t>
  </si>
  <si>
    <t xml:space="preserve">Catalogue API under concurrent load (k6)</t>
  </si>
  <si>
    <t xml:space="preserve">k6 installed</t>
  </si>
  <si>
    <t xml:space="preserve">5–20 virtual users, ~1 min</t>
  </si>
  <si>
    <t xml:space="preserve">1. k6 run perf/k6/catalog-load.js</t>
  </si>
  <si>
    <t xml:space="preserve">Error rate &lt; 1%; p95 &lt; 2s.</t>
  </si>
  <si>
    <t xml:space="preserve">perf/k6/catalog-load.js</t>
  </si>
  <si>
    <t xml:space="preserve">k6</t>
  </si>
  <si>
    <t xml:space="preserve">ID</t>
  </si>
  <si>
    <t xml:space="preserve">Area</t>
  </si>
  <si>
    <t xml:space="preserve">Summary</t>
  </si>
  <si>
    <t xml:space="preserve">Severity</t>
  </si>
  <si>
    <t xml:space="preserve">Steps to Reproduce</t>
  </si>
  <si>
    <t xml:space="preserve">Expected</t>
  </si>
  <si>
    <t xml:space="preserve">Actual</t>
  </si>
  <si>
    <t xml:space="preserve">Covered by</t>
  </si>
  <si>
    <t xml:space="preserve">Evidence / Status</t>
  </si>
  <si>
    <t xml:space="preserve">BUG-01</t>
  </si>
  <si>
    <t xml:space="preserve">Receipt date shows the wrong month (zero-based)</t>
  </si>
  <si>
    <t xml:space="preserve">Medium</t>
  </si>
  <si>
    <t xml:space="preserve">Place any order and read 'Date' on the receipt</t>
  </si>
  <si>
    <t xml:space="preserve">Date shows today's month</t>
  </si>
  <si>
    <t xml:space="preserve">Month is one less (JS getMonth() is zero-based); e.g. October shows as 9</t>
  </si>
  <si>
    <t xml:space="preserve">Confirmed in source (cart.js)</t>
  </si>
  <si>
    <t xml:space="preserve">BUG-02</t>
  </si>
  <si>
    <t xml:space="preserve">An order can be placed with an empty cart</t>
  </si>
  <si>
    <t xml:space="preserve">High</t>
  </si>
  <si>
    <t xml:space="preserve">Open an empty cart → Place Order → fill name + card → Purchase</t>
  </si>
  <si>
    <t xml:space="preserve">Purchase blocked</t>
  </si>
  <si>
    <t xml:space="preserve">Receipt is shown with Amount 0</t>
  </si>
  <si>
    <t xml:space="preserve">To confirm on first CI run</t>
  </si>
  <si>
    <t xml:space="preserve">BUG-03</t>
  </si>
  <si>
    <t xml:space="preserve">No format validation on credit card</t>
  </si>
  <si>
    <t xml:space="preserve">Enter 'not-a-card' as card → Purchase</t>
  </si>
  <si>
    <t xml:space="preserve">Validation error</t>
  </si>
  <si>
    <t xml:space="preserve">Order accepted</t>
  </si>
  <si>
    <t xml:space="preserve">Only emptiness is checked (cart.js)</t>
  </si>
  <si>
    <t xml:space="preserve">BUG-04</t>
  </si>
  <si>
    <t xml:space="preserve">Whitespace-only name passes validation</t>
  </si>
  <si>
    <t xml:space="preserve">Low</t>
  </si>
  <si>
    <t xml:space="preserve">Enter '   ' as name → Purchase</t>
  </si>
  <si>
    <t xml:space="preserve">Treated as empty</t>
  </si>
  <si>
    <t xml:space="preserve">BUG-05</t>
  </si>
  <si>
    <t xml:space="preserve">Place Order / Security</t>
  </si>
  <si>
    <t xml:space="preserve">Full card number echoed on the receipt</t>
  </si>
  <si>
    <t xml:space="preserve">Place an order; read 'Card Number'</t>
  </si>
  <si>
    <t xml:space="preserve">Masked (last 4 digits)</t>
  </si>
  <si>
    <t xml:space="preserve">Full number displayed</t>
  </si>
  <si>
    <t xml:space="preserve">BUG-06</t>
  </si>
  <si>
    <t xml:space="preserve">Inconsistent alert text for add to cart</t>
  </si>
  <si>
    <t xml:space="preserve">Add a product as guest vs. logged-in user</t>
  </si>
  <si>
    <t xml:space="preserve">Same message</t>
  </si>
  <si>
    <t xml:space="preserve">Guest: 'Product added' / user: 'Product added.'</t>
  </si>
  <si>
    <t xml:space="preserve">TC-CART-001 / 004</t>
  </si>
  <si>
    <t xml:space="preserve">Confirmed in source (prod.js)</t>
  </si>
  <si>
    <t xml:space="preserve">OBS-01</t>
  </si>
  <si>
    <t xml:space="preserve">Login / Security</t>
  </si>
  <si>
    <t xml:space="preserve">Password only base64-encoded client-side</t>
  </si>
  <si>
    <t xml:space="preserve">Info</t>
  </si>
  <si>
    <t xml:space="preserve">Inspect POST /login payload</t>
  </si>
  <si>
    <t xml:space="preserve">Password protected by TLS only; no reversible encoding implying security</t>
  </si>
  <si>
    <t xml:space="preserve">Base64 of the password sent (reversible); acceptable over HTTPS but misleading</t>
  </si>
  <si>
    <t xml:space="preserve">TC-LOGIN-023 (related)</t>
  </si>
  <si>
    <t xml:space="preserve">Observation, not a functional defect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</si>
</sst>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16" min="3" style="0" width="12"/>
  </cols>
  <sheetData>
    <row r="1" customFormat="false" ht="19.7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3" t="s">
        <v>2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2" t="s">
        <v>3</v>
      </c>
      <c r="B4" s="3" t="s">
        <v>4</v>
      </c>
      <c r="C4" s="3"/>
      <c r="D4" s="3"/>
      <c r="E4" s="3"/>
      <c r="F4" s="3"/>
      <c r="G4" s="3"/>
      <c r="H4" s="3"/>
      <c r="I4" s="3"/>
      <c r="J4" s="3"/>
      <c r="K4" s="3"/>
      <c r="L4" s="3"/>
    </row>
    <row r="5" customFormat="false" ht="30" hidden="false" customHeight="true" outlineLevel="0" collapsed="false">
      <c r="A5" s="2" t="s">
        <v>5</v>
      </c>
      <c r="B5" s="3" t="s">
        <v>6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customFormat="false" ht="30" hidden="false" customHeight="true" outlineLevel="0" collapsed="false">
      <c r="A6" s="2" t="s">
        <v>7</v>
      </c>
      <c r="B6" s="3" t="s">
        <v>8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customFormat="false" ht="30" hidden="false" customHeight="true" outlineLevel="0" collapsed="false">
      <c r="A7" s="2" t="s">
        <v>9</v>
      </c>
      <c r="B7" s="3" t="s">
        <v>10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customFormat="false" ht="30" hidden="false" customHeight="true" outlineLevel="0" collapsed="false">
      <c r="A8" s="2" t="s">
        <v>11</v>
      </c>
      <c r="B8" s="3" t="s">
        <v>12</v>
      </c>
      <c r="C8" s="3"/>
      <c r="D8" s="3"/>
      <c r="E8" s="3"/>
      <c r="F8" s="3"/>
      <c r="G8" s="3"/>
      <c r="H8" s="3"/>
      <c r="I8" s="3"/>
      <c r="J8" s="3"/>
      <c r="K8" s="3"/>
      <c r="L8" s="3"/>
    </row>
    <row r="9" customFormat="false" ht="30" hidden="false" customHeight="true" outlineLevel="0" collapsed="false">
      <c r="A9" s="2" t="s">
        <v>13</v>
      </c>
      <c r="B9" s="3" t="s">
        <v>14</v>
      </c>
      <c r="C9" s="3"/>
      <c r="D9" s="3"/>
      <c r="E9" s="3"/>
      <c r="F9" s="3"/>
      <c r="G9" s="3"/>
      <c r="H9" s="3"/>
      <c r="I9" s="3"/>
      <c r="J9" s="3"/>
      <c r="K9" s="3"/>
      <c r="L9" s="3"/>
    </row>
    <row r="12" customFormat="false" ht="26.85" hidden="false" customHeight="false" outlineLevel="0" collapsed="false">
      <c r="A12" s="4" t="s">
        <v>15</v>
      </c>
      <c r="B12" s="4" t="s">
        <v>16</v>
      </c>
      <c r="C12" s="4" t="s">
        <v>17</v>
      </c>
      <c r="D12" s="4" t="s">
        <v>18</v>
      </c>
      <c r="E12" s="4" t="s">
        <v>19</v>
      </c>
      <c r="F12" s="4" t="s">
        <v>20</v>
      </c>
      <c r="G12" s="4" t="s">
        <v>21</v>
      </c>
      <c r="H12" s="4" t="s">
        <v>22</v>
      </c>
      <c r="I12" s="4" t="s">
        <v>23</v>
      </c>
      <c r="J12" s="4" t="s">
        <v>24</v>
      </c>
      <c r="K12" s="4" t="s">
        <v>25</v>
      </c>
      <c r="L12" s="4" t="s">
        <v>26</v>
      </c>
      <c r="M12" s="4" t="s">
        <v>27</v>
      </c>
      <c r="N12" s="4" t="s">
        <v>28</v>
      </c>
      <c r="O12" s="4" t="s">
        <v>29</v>
      </c>
      <c r="P12" s="4" t="s">
        <v>30</v>
      </c>
    </row>
    <row r="13" customFormat="false" ht="15" hidden="false" customHeight="false" outlineLevel="0" collapsed="false">
      <c r="A13" s="5" t="s">
        <v>31</v>
      </c>
      <c r="B13" s="5" t="n">
        <f aca="false">COUNTA(Login!$A$2:$A$26)</f>
        <v>25</v>
      </c>
      <c r="C13" s="5" t="n">
        <f aca="false">COUNTIF(Login!$E$2:$E$26,"P1")</f>
        <v>5</v>
      </c>
      <c r="D13" s="5" t="n">
        <f aca="false">COUNTIF(Login!$E$2:$E$26,"P2")</f>
        <v>10</v>
      </c>
      <c r="E13" s="5" t="n">
        <f aca="false">COUNTIF(Login!$E$2:$E$26,"P3")</f>
        <v>10</v>
      </c>
      <c r="F13" s="5" t="n">
        <f aca="false">COUNTIF(Login!$D$2:$D$26,"Functional")</f>
        <v>5</v>
      </c>
      <c r="G13" s="5" t="n">
        <f aca="false">COUNTIF(Login!$D$2:$D$26,"Negative")</f>
        <v>7</v>
      </c>
      <c r="H13" s="5" t="n">
        <f aca="false">COUNTIF(Login!$D$2:$D$26,"Edge")</f>
        <v>6</v>
      </c>
      <c r="I13" s="5" t="n">
        <f aca="false">B13-F13-G13-H13</f>
        <v>7</v>
      </c>
      <c r="J13" s="5" t="n">
        <f aca="false">COUNTIF(Login!$J$2:$J$26,"Automated")</f>
        <v>14</v>
      </c>
      <c r="K13" s="5" t="n">
        <f aca="false">COUNTIF(Login!$J$2:$J$26,"Candidate")</f>
        <v>5</v>
      </c>
      <c r="L13" s="5" t="n">
        <f aca="false">COUNTIF(Login!$J$2:$J$26,"Manual")</f>
        <v>6</v>
      </c>
      <c r="M13" s="6" t="n">
        <f aca="false">IF(B13=0,0,J13/B13)</f>
        <v>0.56</v>
      </c>
      <c r="N13" s="5" t="n">
        <f aca="false">COUNTIF(Login!$M$2:$M$26,"Pass")</f>
        <v>0</v>
      </c>
      <c r="O13" s="5" t="n">
        <f aca="false">COUNTIF(Login!$M$2:$M$26,"Fail")</f>
        <v>0</v>
      </c>
      <c r="P13" s="5" t="n">
        <f aca="false">COUNTIF(Login!$M$2:$M$26,"Not Run")</f>
        <v>25</v>
      </c>
    </row>
    <row r="14" customFormat="false" ht="15" hidden="false" customHeight="false" outlineLevel="0" collapsed="false">
      <c r="A14" s="5" t="s">
        <v>32</v>
      </c>
      <c r="B14" s="5" t="n">
        <f aca="false">COUNTA(Cart!$A$2:$A$22)</f>
        <v>21</v>
      </c>
      <c r="C14" s="5" t="n">
        <f aca="false">COUNTIF(Cart!$E$2:$E$22,"P1")</f>
        <v>5</v>
      </c>
      <c r="D14" s="5" t="n">
        <f aca="false">COUNTIF(Cart!$E$2:$E$22,"P2")</f>
        <v>7</v>
      </c>
      <c r="E14" s="5" t="n">
        <f aca="false">COUNTIF(Cart!$E$2:$E$22,"P3")</f>
        <v>9</v>
      </c>
      <c r="F14" s="5" t="n">
        <f aca="false">COUNTIF(Cart!$D$2:$D$22,"Functional")</f>
        <v>8</v>
      </c>
      <c r="G14" s="5" t="n">
        <f aca="false">COUNTIF(Cart!$D$2:$D$22,"Negative")</f>
        <v>2</v>
      </c>
      <c r="H14" s="5" t="n">
        <f aca="false">COUNTIF(Cart!$D$2:$D$22,"Edge")</f>
        <v>9</v>
      </c>
      <c r="I14" s="5" t="n">
        <f aca="false">B14-F14-G14-H14</f>
        <v>2</v>
      </c>
      <c r="J14" s="5" t="n">
        <f aca="false">COUNTIF(Cart!$J$2:$J$22,"Automated")</f>
        <v>11</v>
      </c>
      <c r="K14" s="5" t="n">
        <f aca="false">COUNTIF(Cart!$J$2:$J$22,"Candidate")</f>
        <v>4</v>
      </c>
      <c r="L14" s="5" t="n">
        <f aca="false">COUNTIF(Cart!$J$2:$J$22,"Manual")</f>
        <v>6</v>
      </c>
      <c r="M14" s="6" t="n">
        <f aca="false">IF(B14=0,0,J14/B14)</f>
        <v>0.523809523809524</v>
      </c>
      <c r="N14" s="5" t="n">
        <f aca="false">COUNTIF(Cart!$M$2:$M$22,"Pass")</f>
        <v>0</v>
      </c>
      <c r="O14" s="5" t="n">
        <f aca="false">COUNTIF(Cart!$M$2:$M$22,"Fail")</f>
        <v>0</v>
      </c>
      <c r="P14" s="5" t="n">
        <f aca="false">COUNTIF(Cart!$M$2:$M$22,"Not Run")</f>
        <v>21</v>
      </c>
    </row>
    <row r="15" customFormat="false" ht="15" hidden="false" customHeight="false" outlineLevel="0" collapsed="false">
      <c r="A15" s="5" t="s">
        <v>33</v>
      </c>
      <c r="B15" s="5" t="n">
        <f aca="false">COUNTA('Place Order'!$A$2:$A$18)</f>
        <v>17</v>
      </c>
      <c r="C15" s="5" t="n">
        <f aca="false">COUNTIF('Place Order'!$E$2:$E$18,"P1")</f>
        <v>5</v>
      </c>
      <c r="D15" s="5" t="n">
        <f aca="false">COUNTIF('Place Order'!$E$2:$E$18,"P2")</f>
        <v>7</v>
      </c>
      <c r="E15" s="5" t="n">
        <f aca="false">COUNTIF('Place Order'!$E$2:$E$18,"P3")</f>
        <v>5</v>
      </c>
      <c r="F15" s="5" t="n">
        <f aca="false">COUNTIF('Place Order'!$D$2:$D$18,"Functional")</f>
        <v>3</v>
      </c>
      <c r="G15" s="5" t="n">
        <f aca="false">COUNTIF('Place Order'!$D$2:$D$18,"Negative")</f>
        <v>7</v>
      </c>
      <c r="H15" s="5" t="n">
        <f aca="false">COUNTIF('Place Order'!$D$2:$D$18,"Edge")</f>
        <v>5</v>
      </c>
      <c r="I15" s="5" t="n">
        <f aca="false">B15-F15-G15-H15</f>
        <v>2</v>
      </c>
      <c r="J15" s="5" t="n">
        <f aca="false">COUNTIF('Place Order'!$J$2:$J$18,"Automated")</f>
        <v>14</v>
      </c>
      <c r="K15" s="5" t="n">
        <f aca="false">COUNTIF('Place Order'!$J$2:$J$18,"Candidate")</f>
        <v>2</v>
      </c>
      <c r="L15" s="5" t="n">
        <f aca="false">COUNTIF('Place Order'!$J$2:$J$18,"Manual")</f>
        <v>1</v>
      </c>
      <c r="M15" s="6" t="n">
        <f aca="false">IF(B15=0,0,J15/B15)</f>
        <v>0.823529411764706</v>
      </c>
      <c r="N15" s="5" t="n">
        <f aca="false">COUNTIF('Place Order'!$M$2:$M$18,"Pass")</f>
        <v>0</v>
      </c>
      <c r="O15" s="5" t="n">
        <f aca="false">COUNTIF('Place Order'!$M$2:$M$18,"Fail")</f>
        <v>0</v>
      </c>
      <c r="P15" s="5" t="n">
        <f aca="false">COUNTIF('Place Order'!$M$2:$M$18,"Not Run")</f>
        <v>17</v>
      </c>
    </row>
    <row r="16" customFormat="false" ht="15" hidden="false" customHeight="false" outlineLevel="0" collapsed="false">
      <c r="A16" s="5" t="s">
        <v>34</v>
      </c>
      <c r="B16" s="5" t="n">
        <f aca="false">COUNTA('API &amp; Performance'!$A$2:$A$14)</f>
        <v>13</v>
      </c>
      <c r="C16" s="5" t="n">
        <f aca="false">COUNTIF('API &amp; Performance'!$E$2:$E$14,"P1")</f>
        <v>4</v>
      </c>
      <c r="D16" s="5" t="n">
        <f aca="false">COUNTIF('API &amp; Performance'!$E$2:$E$14,"P2")</f>
        <v>7</v>
      </c>
      <c r="E16" s="5" t="n">
        <f aca="false">COUNTIF('API &amp; Performance'!$E$2:$E$14,"P3")</f>
        <v>2</v>
      </c>
      <c r="F16" s="5" t="n">
        <f aca="false">COUNTIF('API &amp; Performance'!$D$2:$D$14,"Functional")</f>
        <v>5</v>
      </c>
      <c r="G16" s="5" t="n">
        <f aca="false">COUNTIF('API &amp; Performance'!$D$2:$D$14,"Negative")</f>
        <v>3</v>
      </c>
      <c r="H16" s="5" t="n">
        <f aca="false">COUNTIF('API &amp; Performance'!$D$2:$D$14,"Edge")</f>
        <v>1</v>
      </c>
      <c r="I16" s="5" t="n">
        <f aca="false">B16-F16-G16-H16</f>
        <v>4</v>
      </c>
      <c r="J16" s="5" t="n">
        <f aca="false">COUNTIF('API &amp; Performance'!$J$2:$J$14,"Automated")</f>
        <v>13</v>
      </c>
      <c r="K16" s="5" t="n">
        <f aca="false">COUNTIF('API &amp; Performance'!$J$2:$J$14,"Candidate")</f>
        <v>0</v>
      </c>
      <c r="L16" s="5" t="n">
        <f aca="false">COUNTIF('API &amp; Performance'!$J$2:$J$14,"Manual")</f>
        <v>0</v>
      </c>
      <c r="M16" s="6" t="n">
        <f aca="false">IF(B16=0,0,J16/B16)</f>
        <v>1</v>
      </c>
      <c r="N16" s="5" t="n">
        <f aca="false">COUNTIF('API &amp; Performance'!$M$2:$M$14,"Pass")</f>
        <v>0</v>
      </c>
      <c r="O16" s="5" t="n">
        <f aca="false">COUNTIF('API &amp; Performance'!$M$2:$M$14,"Fail")</f>
        <v>0</v>
      </c>
      <c r="P16" s="5" t="n">
        <f aca="false">COUNTIF('API &amp; Performance'!$M$2:$M$14,"Not Run")</f>
        <v>13</v>
      </c>
    </row>
    <row r="17" customFormat="false" ht="15" hidden="false" customHeight="false" outlineLevel="0" collapsed="false">
      <c r="A17" s="7" t="s">
        <v>35</v>
      </c>
      <c r="B17" s="7" t="n">
        <f aca="false">SUM(B13:B16)</f>
        <v>76</v>
      </c>
      <c r="C17" s="7" t="n">
        <f aca="false">SUM(C13:C16)</f>
        <v>19</v>
      </c>
      <c r="D17" s="7" t="n">
        <f aca="false">SUM(D13:D16)</f>
        <v>31</v>
      </c>
      <c r="E17" s="7" t="n">
        <f aca="false">SUM(E13:E16)</f>
        <v>26</v>
      </c>
      <c r="F17" s="7" t="n">
        <f aca="false">SUM(F13:F16)</f>
        <v>21</v>
      </c>
      <c r="G17" s="7" t="n">
        <f aca="false">SUM(G13:G16)</f>
        <v>19</v>
      </c>
      <c r="H17" s="7" t="n">
        <f aca="false">SUM(H13:H16)</f>
        <v>21</v>
      </c>
      <c r="I17" s="7" t="n">
        <f aca="false">SUM(I13:I16)</f>
        <v>15</v>
      </c>
      <c r="J17" s="7" t="n">
        <f aca="false">SUM(J13:J16)</f>
        <v>52</v>
      </c>
      <c r="K17" s="7" t="n">
        <f aca="false">SUM(K13:K16)</f>
        <v>11</v>
      </c>
      <c r="L17" s="7" t="n">
        <f aca="false">SUM(L13:L16)</f>
        <v>13</v>
      </c>
      <c r="M17" s="8" t="n">
        <f aca="false">IF(B17=0,0,J17/B17)</f>
        <v>0.68421052631579</v>
      </c>
      <c r="N17" s="7" t="n">
        <f aca="false">SUM(N13:N16)</f>
        <v>0</v>
      </c>
      <c r="O17" s="7" t="n">
        <f aca="false">SUM(O13:O16)</f>
        <v>0</v>
      </c>
      <c r="P17" s="7" t="n">
        <f aca="false">SUM(P13:P16)</f>
        <v>76</v>
      </c>
    </row>
  </sheetData>
  <mergeCells count="7">
    <mergeCell ref="B3:L3"/>
    <mergeCell ref="B4:L4"/>
    <mergeCell ref="B5:L5"/>
    <mergeCell ref="B6:L6"/>
    <mergeCell ref="B7:L7"/>
    <mergeCell ref="B8:L8"/>
    <mergeCell ref="B9:L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7" min="6" style="0" width="28"/>
    <col collapsed="false" customWidth="true" hidden="false" outlineLevel="0" max="8" min="8" style="0" width="52"/>
    <col collapsed="false" customWidth="true" hidden="false" outlineLevel="0" max="9" min="9" style="0" width="48"/>
    <col collapsed="false" customWidth="true" hidden="false" outlineLevel="0" max="10" min="10" style="0" width="13"/>
    <col collapsed="false" customWidth="true" hidden="false" outlineLevel="0" max="11" min="11" style="0" width="30"/>
    <col collapsed="false" customWidth="true" hidden="false" outlineLevel="0" max="12" min="12" style="0" width="18"/>
    <col collapsed="false" customWidth="true" hidden="false" outlineLevel="0" max="13" min="13" style="0" width="11"/>
    <col collapsed="false" customWidth="true" hidden="false" outlineLevel="0" max="14" min="14" style="0" width="34"/>
  </cols>
  <sheetData>
    <row r="1" customFormat="false" ht="26.85" hidden="false" customHeight="false" outlineLevel="0" collapsed="false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  <c r="N1" s="4" t="s">
        <v>49</v>
      </c>
    </row>
    <row r="2" customFormat="false" ht="46.25" hidden="false" customHeight="false" outlineLevel="0" collapsed="false">
      <c r="A2" s="9" t="s">
        <v>50</v>
      </c>
      <c r="B2" s="10" t="s">
        <v>51</v>
      </c>
      <c r="C2" s="10" t="s">
        <v>52</v>
      </c>
      <c r="D2" s="10" t="s">
        <v>20</v>
      </c>
      <c r="E2" s="10" t="s">
        <v>17</v>
      </c>
      <c r="F2" s="10" t="s">
        <v>53</v>
      </c>
      <c r="G2" s="10" t="s">
        <v>54</v>
      </c>
      <c r="H2" s="10" t="s">
        <v>55</v>
      </c>
      <c r="I2" s="10" t="s">
        <v>56</v>
      </c>
      <c r="J2" s="10" t="s">
        <v>24</v>
      </c>
      <c r="K2" s="10" t="s">
        <v>57</v>
      </c>
      <c r="L2" s="10" t="s">
        <v>58</v>
      </c>
      <c r="M2" s="10" t="s">
        <v>30</v>
      </c>
      <c r="N2" s="10"/>
    </row>
    <row r="3" customFormat="false" ht="35.05" hidden="false" customHeight="false" outlineLevel="0" collapsed="false">
      <c r="A3" s="9" t="s">
        <v>59</v>
      </c>
      <c r="B3" s="10" t="s">
        <v>60</v>
      </c>
      <c r="C3" s="10" t="s">
        <v>61</v>
      </c>
      <c r="D3" s="10" t="s">
        <v>21</v>
      </c>
      <c r="E3" s="10" t="s">
        <v>17</v>
      </c>
      <c r="F3" s="10" t="s">
        <v>53</v>
      </c>
      <c r="G3" s="10" t="s">
        <v>62</v>
      </c>
      <c r="H3" s="10" t="s">
        <v>63</v>
      </c>
      <c r="I3" s="10" t="s">
        <v>64</v>
      </c>
      <c r="J3" s="10" t="s">
        <v>24</v>
      </c>
      <c r="K3" s="10" t="s">
        <v>57</v>
      </c>
      <c r="L3" s="10" t="s">
        <v>65</v>
      </c>
      <c r="M3" s="10" t="s">
        <v>30</v>
      </c>
      <c r="N3" s="10"/>
    </row>
    <row r="4" customFormat="false" ht="35.05" hidden="false" customHeight="false" outlineLevel="0" collapsed="false">
      <c r="A4" s="9" t="s">
        <v>66</v>
      </c>
      <c r="B4" s="10" t="s">
        <v>60</v>
      </c>
      <c r="C4" s="10" t="s">
        <v>67</v>
      </c>
      <c r="D4" s="10" t="s">
        <v>21</v>
      </c>
      <c r="E4" s="10" t="s">
        <v>17</v>
      </c>
      <c r="F4" s="10" t="s">
        <v>68</v>
      </c>
      <c r="G4" s="10" t="s">
        <v>69</v>
      </c>
      <c r="H4" s="10" t="s">
        <v>70</v>
      </c>
      <c r="I4" s="10" t="s">
        <v>71</v>
      </c>
      <c r="J4" s="10" t="s">
        <v>24</v>
      </c>
      <c r="K4" s="10" t="s">
        <v>57</v>
      </c>
      <c r="L4" s="10" t="s">
        <v>65</v>
      </c>
      <c r="M4" s="10" t="s">
        <v>30</v>
      </c>
      <c r="N4" s="10"/>
    </row>
    <row r="5" customFormat="false" ht="35.05" hidden="false" customHeight="false" outlineLevel="0" collapsed="false">
      <c r="A5" s="9" t="s">
        <v>72</v>
      </c>
      <c r="B5" s="10" t="s">
        <v>73</v>
      </c>
      <c r="C5" s="10" t="s">
        <v>74</v>
      </c>
      <c r="D5" s="10" t="s">
        <v>21</v>
      </c>
      <c r="E5" s="10" t="s">
        <v>18</v>
      </c>
      <c r="F5" s="10" t="s">
        <v>68</v>
      </c>
      <c r="G5" s="10" t="s">
        <v>75</v>
      </c>
      <c r="H5" s="10" t="s">
        <v>76</v>
      </c>
      <c r="I5" s="10" t="s">
        <v>77</v>
      </c>
      <c r="J5" s="10" t="s">
        <v>24</v>
      </c>
      <c r="K5" s="10" t="s">
        <v>57</v>
      </c>
      <c r="L5" s="10" t="s">
        <v>65</v>
      </c>
      <c r="M5" s="10" t="s">
        <v>30</v>
      </c>
      <c r="N5" s="10"/>
    </row>
    <row r="6" customFormat="false" ht="35.05" hidden="false" customHeight="false" outlineLevel="0" collapsed="false">
      <c r="A6" s="9" t="s">
        <v>78</v>
      </c>
      <c r="B6" s="10" t="s">
        <v>73</v>
      </c>
      <c r="C6" s="10" t="s">
        <v>79</v>
      </c>
      <c r="D6" s="10" t="s">
        <v>21</v>
      </c>
      <c r="E6" s="10" t="s">
        <v>18</v>
      </c>
      <c r="F6" s="10" t="s">
        <v>68</v>
      </c>
      <c r="G6" s="10" t="s">
        <v>80</v>
      </c>
      <c r="H6" s="10" t="s">
        <v>81</v>
      </c>
      <c r="I6" s="10" t="s">
        <v>82</v>
      </c>
      <c r="J6" s="10" t="s">
        <v>24</v>
      </c>
      <c r="K6" s="10" t="s">
        <v>57</v>
      </c>
      <c r="L6" s="10" t="s">
        <v>65</v>
      </c>
      <c r="M6" s="10" t="s">
        <v>30</v>
      </c>
      <c r="N6" s="10"/>
    </row>
    <row r="7" customFormat="false" ht="35.05" hidden="false" customHeight="false" outlineLevel="0" collapsed="false">
      <c r="A7" s="9" t="s">
        <v>83</v>
      </c>
      <c r="B7" s="10" t="s">
        <v>73</v>
      </c>
      <c r="C7" s="10" t="s">
        <v>84</v>
      </c>
      <c r="D7" s="10" t="s">
        <v>21</v>
      </c>
      <c r="E7" s="10" t="s">
        <v>18</v>
      </c>
      <c r="F7" s="10" t="s">
        <v>68</v>
      </c>
      <c r="G7" s="10" t="s">
        <v>85</v>
      </c>
      <c r="H7" s="10" t="s">
        <v>86</v>
      </c>
      <c r="I7" s="10" t="s">
        <v>82</v>
      </c>
      <c r="J7" s="10" t="s">
        <v>24</v>
      </c>
      <c r="K7" s="10" t="s">
        <v>57</v>
      </c>
      <c r="L7" s="10" t="s">
        <v>65</v>
      </c>
      <c r="M7" s="10" t="s">
        <v>30</v>
      </c>
      <c r="N7" s="10"/>
    </row>
    <row r="8" customFormat="false" ht="23.85" hidden="false" customHeight="false" outlineLevel="0" collapsed="false">
      <c r="A8" s="9" t="s">
        <v>87</v>
      </c>
      <c r="B8" s="10" t="s">
        <v>88</v>
      </c>
      <c r="C8" s="10" t="s">
        <v>89</v>
      </c>
      <c r="D8" s="10" t="s">
        <v>90</v>
      </c>
      <c r="E8" s="10" t="s">
        <v>18</v>
      </c>
      <c r="F8" s="10" t="s">
        <v>68</v>
      </c>
      <c r="G8" s="10" t="s">
        <v>68</v>
      </c>
      <c r="H8" s="10" t="s">
        <v>91</v>
      </c>
      <c r="I8" s="10" t="s">
        <v>92</v>
      </c>
      <c r="J8" s="10" t="s">
        <v>24</v>
      </c>
      <c r="K8" s="10" t="s">
        <v>57</v>
      </c>
      <c r="L8" s="10" t="s">
        <v>65</v>
      </c>
      <c r="M8" s="10" t="s">
        <v>30</v>
      </c>
      <c r="N8" s="10"/>
    </row>
    <row r="9" customFormat="false" ht="35.05" hidden="false" customHeight="false" outlineLevel="0" collapsed="false">
      <c r="A9" s="9" t="s">
        <v>93</v>
      </c>
      <c r="B9" s="10" t="s">
        <v>94</v>
      </c>
      <c r="C9" s="10" t="s">
        <v>95</v>
      </c>
      <c r="D9" s="10" t="s">
        <v>20</v>
      </c>
      <c r="E9" s="10" t="s">
        <v>18</v>
      </c>
      <c r="F9" s="10" t="s">
        <v>53</v>
      </c>
      <c r="G9" s="10" t="s">
        <v>68</v>
      </c>
      <c r="H9" s="10" t="s">
        <v>96</v>
      </c>
      <c r="I9" s="10" t="s">
        <v>97</v>
      </c>
      <c r="J9" s="10" t="s">
        <v>24</v>
      </c>
      <c r="K9" s="10" t="s">
        <v>57</v>
      </c>
      <c r="L9" s="10" t="s">
        <v>65</v>
      </c>
      <c r="M9" s="10" t="s">
        <v>30</v>
      </c>
      <c r="N9" s="10"/>
    </row>
    <row r="10" customFormat="false" ht="23.85" hidden="false" customHeight="false" outlineLevel="0" collapsed="false">
      <c r="A10" s="9" t="s">
        <v>98</v>
      </c>
      <c r="B10" s="10" t="s">
        <v>99</v>
      </c>
      <c r="C10" s="10" t="s">
        <v>100</v>
      </c>
      <c r="D10" s="10" t="s">
        <v>20</v>
      </c>
      <c r="E10" s="10" t="s">
        <v>17</v>
      </c>
      <c r="F10" s="10" t="s">
        <v>101</v>
      </c>
      <c r="G10" s="10" t="s">
        <v>68</v>
      </c>
      <c r="H10" s="10" t="s">
        <v>102</v>
      </c>
      <c r="I10" s="10" t="s">
        <v>103</v>
      </c>
      <c r="J10" s="10" t="s">
        <v>24</v>
      </c>
      <c r="K10" s="10" t="s">
        <v>57</v>
      </c>
      <c r="L10" s="10" t="s">
        <v>58</v>
      </c>
      <c r="M10" s="10" t="s">
        <v>30</v>
      </c>
      <c r="N10" s="10"/>
    </row>
    <row r="11" customFormat="false" ht="35.05" hidden="false" customHeight="false" outlineLevel="0" collapsed="false">
      <c r="A11" s="9" t="s">
        <v>104</v>
      </c>
      <c r="B11" s="10" t="s">
        <v>105</v>
      </c>
      <c r="C11" s="10" t="s">
        <v>106</v>
      </c>
      <c r="D11" s="10" t="s">
        <v>22</v>
      </c>
      <c r="E11" s="10" t="s">
        <v>19</v>
      </c>
      <c r="F11" s="10" t="s">
        <v>53</v>
      </c>
      <c r="G11" s="10" t="s">
        <v>107</v>
      </c>
      <c r="H11" s="10" t="s">
        <v>108</v>
      </c>
      <c r="I11" s="10" t="s">
        <v>109</v>
      </c>
      <c r="J11" s="10" t="s">
        <v>24</v>
      </c>
      <c r="K11" s="10" t="s">
        <v>57</v>
      </c>
      <c r="L11" s="10" t="s">
        <v>65</v>
      </c>
      <c r="M11" s="10" t="s">
        <v>30</v>
      </c>
      <c r="N11" s="10"/>
    </row>
    <row r="12" customFormat="false" ht="35.05" hidden="false" customHeight="false" outlineLevel="0" collapsed="false">
      <c r="A12" s="9" t="s">
        <v>110</v>
      </c>
      <c r="B12" s="10" t="s">
        <v>111</v>
      </c>
      <c r="C12" s="10" t="s">
        <v>112</v>
      </c>
      <c r="D12" s="10" t="s">
        <v>111</v>
      </c>
      <c r="E12" s="10" t="s">
        <v>18</v>
      </c>
      <c r="F12" s="10" t="s">
        <v>68</v>
      </c>
      <c r="G12" s="10" t="s">
        <v>113</v>
      </c>
      <c r="H12" s="10" t="s">
        <v>114</v>
      </c>
      <c r="I12" s="10" t="s">
        <v>115</v>
      </c>
      <c r="J12" s="10" t="s">
        <v>24</v>
      </c>
      <c r="K12" s="10" t="s">
        <v>57</v>
      </c>
      <c r="L12" s="10" t="s">
        <v>116</v>
      </c>
      <c r="M12" s="10" t="s">
        <v>30</v>
      </c>
      <c r="N12" s="10"/>
    </row>
    <row r="13" customFormat="false" ht="46.25" hidden="false" customHeight="false" outlineLevel="0" collapsed="false">
      <c r="A13" s="9" t="s">
        <v>117</v>
      </c>
      <c r="B13" s="10" t="s">
        <v>118</v>
      </c>
      <c r="C13" s="10" t="s">
        <v>119</v>
      </c>
      <c r="D13" s="10" t="s">
        <v>20</v>
      </c>
      <c r="E13" s="10" t="s">
        <v>17</v>
      </c>
      <c r="F13" s="10" t="s">
        <v>68</v>
      </c>
      <c r="G13" s="10" t="s">
        <v>120</v>
      </c>
      <c r="H13" s="10" t="s">
        <v>121</v>
      </c>
      <c r="I13" s="10" t="s">
        <v>122</v>
      </c>
      <c r="J13" s="10" t="s">
        <v>24</v>
      </c>
      <c r="K13" s="10" t="s">
        <v>57</v>
      </c>
      <c r="L13" s="10" t="s">
        <v>65</v>
      </c>
      <c r="M13" s="10" t="s">
        <v>30</v>
      </c>
      <c r="N13" s="10"/>
    </row>
    <row r="14" customFormat="false" ht="35.05" hidden="false" customHeight="false" outlineLevel="0" collapsed="false">
      <c r="A14" s="9" t="s">
        <v>123</v>
      </c>
      <c r="B14" s="10" t="s">
        <v>124</v>
      </c>
      <c r="C14" s="10" t="s">
        <v>125</v>
      </c>
      <c r="D14" s="10" t="s">
        <v>21</v>
      </c>
      <c r="E14" s="10" t="s">
        <v>18</v>
      </c>
      <c r="F14" s="10" t="s">
        <v>53</v>
      </c>
      <c r="G14" s="10" t="s">
        <v>126</v>
      </c>
      <c r="H14" s="10" t="s">
        <v>127</v>
      </c>
      <c r="I14" s="10" t="s">
        <v>128</v>
      </c>
      <c r="J14" s="10" t="s">
        <v>24</v>
      </c>
      <c r="K14" s="10" t="s">
        <v>57</v>
      </c>
      <c r="L14" s="10" t="s">
        <v>65</v>
      </c>
      <c r="M14" s="10" t="s">
        <v>30</v>
      </c>
      <c r="N14" s="10"/>
    </row>
    <row r="15" customFormat="false" ht="35.05" hidden="false" customHeight="false" outlineLevel="0" collapsed="false">
      <c r="A15" s="9" t="s">
        <v>129</v>
      </c>
      <c r="B15" s="10" t="s">
        <v>105</v>
      </c>
      <c r="C15" s="10" t="s">
        <v>130</v>
      </c>
      <c r="D15" s="10" t="s">
        <v>90</v>
      </c>
      <c r="E15" s="10" t="s">
        <v>19</v>
      </c>
      <c r="F15" s="10" t="s">
        <v>68</v>
      </c>
      <c r="G15" s="10" t="s">
        <v>68</v>
      </c>
      <c r="H15" s="10" t="s">
        <v>131</v>
      </c>
      <c r="I15" s="10" t="s">
        <v>132</v>
      </c>
      <c r="J15" s="10" t="s">
        <v>26</v>
      </c>
      <c r="K15" s="10"/>
      <c r="L15" s="10"/>
      <c r="M15" s="10" t="s">
        <v>30</v>
      </c>
      <c r="N15" s="10"/>
    </row>
    <row r="16" customFormat="false" ht="46.25" hidden="false" customHeight="false" outlineLevel="0" collapsed="false">
      <c r="A16" s="9" t="s">
        <v>133</v>
      </c>
      <c r="B16" s="10" t="s">
        <v>134</v>
      </c>
      <c r="C16" s="10" t="s">
        <v>135</v>
      </c>
      <c r="D16" s="10" t="s">
        <v>22</v>
      </c>
      <c r="E16" s="10" t="s">
        <v>19</v>
      </c>
      <c r="F16" s="10" t="s">
        <v>53</v>
      </c>
      <c r="G16" s="10" t="s">
        <v>136</v>
      </c>
      <c r="H16" s="10" t="s">
        <v>137</v>
      </c>
      <c r="I16" s="10" t="s">
        <v>138</v>
      </c>
      <c r="J16" s="10" t="s">
        <v>25</v>
      </c>
      <c r="K16" s="10"/>
      <c r="L16" s="10"/>
      <c r="M16" s="10" t="s">
        <v>30</v>
      </c>
      <c r="N16" s="10"/>
    </row>
    <row r="17" customFormat="false" ht="46.25" hidden="false" customHeight="false" outlineLevel="0" collapsed="false">
      <c r="A17" s="9" t="s">
        <v>139</v>
      </c>
      <c r="B17" s="10" t="s">
        <v>134</v>
      </c>
      <c r="C17" s="10" t="s">
        <v>140</v>
      </c>
      <c r="D17" s="10" t="s">
        <v>22</v>
      </c>
      <c r="E17" s="10" t="s">
        <v>19</v>
      </c>
      <c r="F17" s="10" t="s">
        <v>53</v>
      </c>
      <c r="G17" s="10" t="s">
        <v>141</v>
      </c>
      <c r="H17" s="10" t="s">
        <v>142</v>
      </c>
      <c r="I17" s="10" t="s">
        <v>143</v>
      </c>
      <c r="J17" s="10" t="s">
        <v>25</v>
      </c>
      <c r="K17" s="10"/>
      <c r="L17" s="10"/>
      <c r="M17" s="10" t="s">
        <v>30</v>
      </c>
      <c r="N17" s="10"/>
    </row>
    <row r="18" customFormat="false" ht="35.05" hidden="false" customHeight="false" outlineLevel="0" collapsed="false">
      <c r="A18" s="9" t="s">
        <v>144</v>
      </c>
      <c r="B18" s="10" t="s">
        <v>134</v>
      </c>
      <c r="C18" s="10" t="s">
        <v>145</v>
      </c>
      <c r="D18" s="10" t="s">
        <v>22</v>
      </c>
      <c r="E18" s="10" t="s">
        <v>19</v>
      </c>
      <c r="F18" s="10" t="s">
        <v>68</v>
      </c>
      <c r="G18" s="10" t="s">
        <v>146</v>
      </c>
      <c r="H18" s="10" t="s">
        <v>147</v>
      </c>
      <c r="I18" s="10" t="s">
        <v>148</v>
      </c>
      <c r="J18" s="10" t="s">
        <v>25</v>
      </c>
      <c r="K18" s="10"/>
      <c r="L18" s="10"/>
      <c r="M18" s="10" t="s">
        <v>30</v>
      </c>
      <c r="N18" s="10"/>
    </row>
    <row r="19" customFormat="false" ht="23.85" hidden="false" customHeight="false" outlineLevel="0" collapsed="false">
      <c r="A19" s="9" t="s">
        <v>149</v>
      </c>
      <c r="B19" s="10" t="s">
        <v>134</v>
      </c>
      <c r="C19" s="10" t="s">
        <v>150</v>
      </c>
      <c r="D19" s="10" t="s">
        <v>22</v>
      </c>
      <c r="E19" s="10" t="s">
        <v>19</v>
      </c>
      <c r="F19" s="10" t="s">
        <v>151</v>
      </c>
      <c r="G19" s="10" t="s">
        <v>152</v>
      </c>
      <c r="H19" s="10" t="s">
        <v>153</v>
      </c>
      <c r="I19" s="10" t="s">
        <v>154</v>
      </c>
      <c r="J19" s="10" t="s">
        <v>25</v>
      </c>
      <c r="K19" s="10"/>
      <c r="L19" s="10"/>
      <c r="M19" s="10" t="s">
        <v>30</v>
      </c>
      <c r="N19" s="10"/>
    </row>
    <row r="20" customFormat="false" ht="35.05" hidden="false" customHeight="false" outlineLevel="0" collapsed="false">
      <c r="A20" s="9" t="s">
        <v>155</v>
      </c>
      <c r="B20" s="10" t="s">
        <v>111</v>
      </c>
      <c r="C20" s="10" t="s">
        <v>156</v>
      </c>
      <c r="D20" s="10" t="s">
        <v>111</v>
      </c>
      <c r="E20" s="10" t="s">
        <v>18</v>
      </c>
      <c r="F20" s="10" t="s">
        <v>68</v>
      </c>
      <c r="G20" s="10" t="s">
        <v>157</v>
      </c>
      <c r="H20" s="10" t="s">
        <v>158</v>
      </c>
      <c r="I20" s="10" t="s">
        <v>159</v>
      </c>
      <c r="J20" s="10" t="s">
        <v>25</v>
      </c>
      <c r="K20" s="10"/>
      <c r="L20" s="10"/>
      <c r="M20" s="10" t="s">
        <v>30</v>
      </c>
      <c r="N20" s="10"/>
    </row>
    <row r="21" customFormat="false" ht="35.05" hidden="false" customHeight="false" outlineLevel="0" collapsed="false">
      <c r="A21" s="9" t="s">
        <v>160</v>
      </c>
      <c r="B21" s="10" t="s">
        <v>161</v>
      </c>
      <c r="C21" s="10" t="s">
        <v>162</v>
      </c>
      <c r="D21" s="10" t="s">
        <v>161</v>
      </c>
      <c r="E21" s="10" t="s">
        <v>19</v>
      </c>
      <c r="F21" s="10" t="s">
        <v>53</v>
      </c>
      <c r="G21" s="10" t="s">
        <v>107</v>
      </c>
      <c r="H21" s="10" t="s">
        <v>163</v>
      </c>
      <c r="I21" s="10" t="s">
        <v>164</v>
      </c>
      <c r="J21" s="10" t="s">
        <v>26</v>
      </c>
      <c r="K21" s="10"/>
      <c r="L21" s="10"/>
      <c r="M21" s="10" t="s">
        <v>30</v>
      </c>
      <c r="N21" s="10"/>
    </row>
    <row r="22" customFormat="false" ht="35.05" hidden="false" customHeight="false" outlineLevel="0" collapsed="false">
      <c r="A22" s="9" t="s">
        <v>165</v>
      </c>
      <c r="B22" s="10" t="s">
        <v>166</v>
      </c>
      <c r="C22" s="10" t="s">
        <v>167</v>
      </c>
      <c r="D22" s="10" t="s">
        <v>22</v>
      </c>
      <c r="E22" s="10" t="s">
        <v>19</v>
      </c>
      <c r="F22" s="10" t="s">
        <v>53</v>
      </c>
      <c r="G22" s="10" t="s">
        <v>107</v>
      </c>
      <c r="H22" s="10" t="s">
        <v>168</v>
      </c>
      <c r="I22" s="10" t="s">
        <v>169</v>
      </c>
      <c r="J22" s="10" t="s">
        <v>26</v>
      </c>
      <c r="K22" s="10"/>
      <c r="L22" s="10"/>
      <c r="M22" s="10" t="s">
        <v>30</v>
      </c>
      <c r="N22" s="10"/>
    </row>
    <row r="23" customFormat="false" ht="35.05" hidden="false" customHeight="false" outlineLevel="0" collapsed="false">
      <c r="A23" s="9" t="s">
        <v>170</v>
      </c>
      <c r="B23" s="10" t="s">
        <v>94</v>
      </c>
      <c r="C23" s="10" t="s">
        <v>171</v>
      </c>
      <c r="D23" s="10" t="s">
        <v>20</v>
      </c>
      <c r="E23" s="10" t="s">
        <v>19</v>
      </c>
      <c r="F23" s="10" t="s">
        <v>53</v>
      </c>
      <c r="G23" s="10" t="s">
        <v>68</v>
      </c>
      <c r="H23" s="10" t="s">
        <v>172</v>
      </c>
      <c r="I23" s="10" t="s">
        <v>173</v>
      </c>
      <c r="J23" s="10" t="s">
        <v>26</v>
      </c>
      <c r="K23" s="10"/>
      <c r="L23" s="10"/>
      <c r="M23" s="10" t="s">
        <v>30</v>
      </c>
      <c r="N23" s="10"/>
    </row>
    <row r="24" customFormat="false" ht="35.05" hidden="false" customHeight="false" outlineLevel="0" collapsed="false">
      <c r="A24" s="9" t="s">
        <v>174</v>
      </c>
      <c r="B24" s="10" t="s">
        <v>111</v>
      </c>
      <c r="C24" s="10" t="s">
        <v>175</v>
      </c>
      <c r="D24" s="10" t="s">
        <v>111</v>
      </c>
      <c r="E24" s="10" t="s">
        <v>18</v>
      </c>
      <c r="F24" s="10" t="s">
        <v>53</v>
      </c>
      <c r="G24" s="10" t="s">
        <v>176</v>
      </c>
      <c r="H24" s="10" t="s">
        <v>177</v>
      </c>
      <c r="I24" s="10" t="s">
        <v>178</v>
      </c>
      <c r="J24" s="10" t="s">
        <v>26</v>
      </c>
      <c r="K24" s="10"/>
      <c r="L24" s="10"/>
      <c r="M24" s="10" t="s">
        <v>30</v>
      </c>
      <c r="N24" s="10"/>
    </row>
    <row r="25" customFormat="false" ht="35.05" hidden="false" customHeight="false" outlineLevel="0" collapsed="false">
      <c r="A25" s="9" t="s">
        <v>179</v>
      </c>
      <c r="B25" s="10" t="s">
        <v>94</v>
      </c>
      <c r="C25" s="10" t="s">
        <v>180</v>
      </c>
      <c r="D25" s="10" t="s">
        <v>21</v>
      </c>
      <c r="E25" s="10" t="s">
        <v>19</v>
      </c>
      <c r="F25" s="10" t="s">
        <v>181</v>
      </c>
      <c r="G25" s="10" t="s">
        <v>182</v>
      </c>
      <c r="H25" s="10" t="s">
        <v>183</v>
      </c>
      <c r="I25" s="10" t="s">
        <v>184</v>
      </c>
      <c r="J25" s="10" t="s">
        <v>26</v>
      </c>
      <c r="K25" s="10"/>
      <c r="L25" s="10"/>
      <c r="M25" s="10" t="s">
        <v>30</v>
      </c>
      <c r="N25" s="10"/>
    </row>
    <row r="26" customFormat="false" ht="35.05" hidden="false" customHeight="false" outlineLevel="0" collapsed="false">
      <c r="A26" s="9" t="s">
        <v>185</v>
      </c>
      <c r="B26" s="10" t="s">
        <v>186</v>
      </c>
      <c r="C26" s="10" t="s">
        <v>187</v>
      </c>
      <c r="D26" s="10" t="s">
        <v>186</v>
      </c>
      <c r="E26" s="10" t="s">
        <v>18</v>
      </c>
      <c r="F26" s="10" t="s">
        <v>53</v>
      </c>
      <c r="G26" s="10" t="s">
        <v>68</v>
      </c>
      <c r="H26" s="10" t="s">
        <v>188</v>
      </c>
      <c r="I26" s="10" t="s">
        <v>189</v>
      </c>
      <c r="J26" s="10" t="s">
        <v>24</v>
      </c>
      <c r="K26" s="10" t="s">
        <v>190</v>
      </c>
      <c r="L26" s="10" t="s">
        <v>191</v>
      </c>
      <c r="M26" s="10" t="s">
        <v>30</v>
      </c>
      <c r="N26" s="10"/>
    </row>
  </sheetData>
  <autoFilter ref="A1:N26"/>
  <conditionalFormatting sqref="M2:M26">
    <cfRule type="cellIs" priority="2" operator="equal" aboveAverage="0" equalAverage="0" bottom="0" percent="0" rank="0" text="" dxfId="3">
      <formula>"Pass"</formula>
    </cfRule>
    <cfRule type="cellIs" priority="3" operator="equal" aboveAverage="0" equalAverage="0" bottom="0" percent="0" rank="0" text="" dxfId="4">
      <formula>"Fail"</formula>
    </cfRule>
    <cfRule type="cellIs" priority="4" operator="equal" aboveAverage="0" equalAverage="0" bottom="0" percent="0" rank="0" text="" dxfId="5">
      <formula>"Expected Fail"</formula>
    </cfRule>
  </conditionalFormatting>
  <conditionalFormatting sqref="L2:L26">
    <cfRule type="expression" priority="5" aboveAverage="0" equalAverage="0" bottom="0" percent="0" rank="0" text="" dxfId="5">
      <formula>ISNUMBER(SEARCH("@known-bug",L2))</formula>
    </cfRule>
  </conditionalFormatting>
  <dataValidations count="3">
    <dataValidation allowBlank="true" errorStyle="stop" operator="between" showDropDown="false" showErrorMessage="false" showInputMessage="false" sqref="M2:M26" type="list">
      <formula1>"Not Run,Pass,Fail,Blocked,Expected Fail"</formula1>
      <formula2>0</formula2>
    </dataValidation>
    <dataValidation allowBlank="true" errorStyle="stop" operator="between" showDropDown="false" showErrorMessage="false" showInputMessage="false" sqref="J2:J26" type="list">
      <formula1>"Automated,Candidate,Manual"</formula1>
      <formula2>0</formula2>
    </dataValidation>
    <dataValidation allowBlank="true" errorStyle="stop" operator="between" showDropDown="false" showErrorMessage="false" showInputMessage="false" sqref="E2:E26" type="list">
      <formula1>"P1,P2,P3"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7" min="6" style="0" width="28"/>
    <col collapsed="false" customWidth="true" hidden="false" outlineLevel="0" max="8" min="8" style="0" width="52"/>
    <col collapsed="false" customWidth="true" hidden="false" outlineLevel="0" max="9" min="9" style="0" width="48"/>
    <col collapsed="false" customWidth="true" hidden="false" outlineLevel="0" max="10" min="10" style="0" width="13"/>
    <col collapsed="false" customWidth="true" hidden="false" outlineLevel="0" max="11" min="11" style="0" width="30"/>
    <col collapsed="false" customWidth="true" hidden="false" outlineLevel="0" max="12" min="12" style="0" width="18"/>
    <col collapsed="false" customWidth="true" hidden="false" outlineLevel="0" max="13" min="13" style="0" width="11"/>
    <col collapsed="false" customWidth="true" hidden="false" outlineLevel="0" max="14" min="14" style="0" width="34"/>
  </cols>
  <sheetData>
    <row r="1" customFormat="false" ht="26.85" hidden="false" customHeight="false" outlineLevel="0" collapsed="false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  <c r="N1" s="4" t="s">
        <v>49</v>
      </c>
    </row>
    <row r="2" customFormat="false" ht="68.65" hidden="false" customHeight="false" outlineLevel="0" collapsed="false">
      <c r="A2" s="9" t="s">
        <v>192</v>
      </c>
      <c r="B2" s="10" t="s">
        <v>193</v>
      </c>
      <c r="C2" s="10" t="s">
        <v>194</v>
      </c>
      <c r="D2" s="10" t="s">
        <v>20</v>
      </c>
      <c r="E2" s="10" t="s">
        <v>17</v>
      </c>
      <c r="F2" s="10" t="s">
        <v>195</v>
      </c>
      <c r="G2" s="10" t="s">
        <v>196</v>
      </c>
      <c r="H2" s="10" t="s">
        <v>197</v>
      </c>
      <c r="I2" s="10" t="s">
        <v>198</v>
      </c>
      <c r="J2" s="10" t="s">
        <v>24</v>
      </c>
      <c r="K2" s="10" t="s">
        <v>199</v>
      </c>
      <c r="L2" s="10" t="s">
        <v>58</v>
      </c>
      <c r="M2" s="10" t="s">
        <v>30</v>
      </c>
      <c r="N2" s="10"/>
    </row>
    <row r="3" customFormat="false" ht="23.85" hidden="false" customHeight="false" outlineLevel="0" collapsed="false">
      <c r="A3" s="9" t="s">
        <v>200</v>
      </c>
      <c r="B3" s="10" t="s">
        <v>201</v>
      </c>
      <c r="C3" s="10" t="s">
        <v>202</v>
      </c>
      <c r="D3" s="10" t="s">
        <v>22</v>
      </c>
      <c r="E3" s="10" t="s">
        <v>18</v>
      </c>
      <c r="F3" s="10" t="s">
        <v>203</v>
      </c>
      <c r="G3" s="10" t="s">
        <v>68</v>
      </c>
      <c r="H3" s="10" t="s">
        <v>204</v>
      </c>
      <c r="I3" s="10" t="s">
        <v>205</v>
      </c>
      <c r="J3" s="10" t="s">
        <v>24</v>
      </c>
      <c r="K3" s="10" t="s">
        <v>199</v>
      </c>
      <c r="L3" s="10" t="s">
        <v>65</v>
      </c>
      <c r="M3" s="10" t="s">
        <v>30</v>
      </c>
      <c r="N3" s="10"/>
    </row>
    <row r="4" customFormat="false" ht="23.85" hidden="false" customHeight="false" outlineLevel="0" collapsed="false">
      <c r="A4" s="9" t="s">
        <v>206</v>
      </c>
      <c r="B4" s="10" t="s">
        <v>207</v>
      </c>
      <c r="C4" s="10" t="s">
        <v>208</v>
      </c>
      <c r="D4" s="10" t="s">
        <v>20</v>
      </c>
      <c r="E4" s="10" t="s">
        <v>18</v>
      </c>
      <c r="F4" s="10" t="s">
        <v>209</v>
      </c>
      <c r="G4" s="10" t="s">
        <v>210</v>
      </c>
      <c r="H4" s="10" t="s">
        <v>211</v>
      </c>
      <c r="I4" s="10" t="s">
        <v>212</v>
      </c>
      <c r="J4" s="10" t="s">
        <v>24</v>
      </c>
      <c r="K4" s="10" t="s">
        <v>199</v>
      </c>
      <c r="L4" s="10" t="s">
        <v>65</v>
      </c>
      <c r="M4" s="10" t="s">
        <v>30</v>
      </c>
      <c r="N4" s="10"/>
    </row>
    <row r="5" customFormat="false" ht="46.25" hidden="false" customHeight="false" outlineLevel="0" collapsed="false">
      <c r="A5" s="9" t="s">
        <v>213</v>
      </c>
      <c r="B5" s="10" t="s">
        <v>193</v>
      </c>
      <c r="C5" s="10" t="s">
        <v>214</v>
      </c>
      <c r="D5" s="10" t="s">
        <v>20</v>
      </c>
      <c r="E5" s="10" t="s">
        <v>17</v>
      </c>
      <c r="F5" s="10" t="s">
        <v>101</v>
      </c>
      <c r="G5" s="10" t="s">
        <v>215</v>
      </c>
      <c r="H5" s="10" t="s">
        <v>216</v>
      </c>
      <c r="I5" s="10" t="s">
        <v>217</v>
      </c>
      <c r="J5" s="10" t="s">
        <v>24</v>
      </c>
      <c r="K5" s="10" t="s">
        <v>199</v>
      </c>
      <c r="L5" s="10" t="s">
        <v>58</v>
      </c>
      <c r="M5" s="10" t="s">
        <v>30</v>
      </c>
      <c r="N5" s="10"/>
    </row>
    <row r="6" customFormat="false" ht="35.05" hidden="false" customHeight="false" outlineLevel="0" collapsed="false">
      <c r="A6" s="9" t="s">
        <v>218</v>
      </c>
      <c r="B6" s="10" t="s">
        <v>16</v>
      </c>
      <c r="C6" s="10" t="s">
        <v>219</v>
      </c>
      <c r="D6" s="10" t="s">
        <v>20</v>
      </c>
      <c r="E6" s="10" t="s">
        <v>17</v>
      </c>
      <c r="F6" s="10" t="s">
        <v>220</v>
      </c>
      <c r="G6" s="10" t="s">
        <v>221</v>
      </c>
      <c r="H6" s="10" t="s">
        <v>222</v>
      </c>
      <c r="I6" s="10" t="s">
        <v>223</v>
      </c>
      <c r="J6" s="10" t="s">
        <v>24</v>
      </c>
      <c r="K6" s="10" t="s">
        <v>199</v>
      </c>
      <c r="L6" s="10" t="s">
        <v>65</v>
      </c>
      <c r="M6" s="10" t="s">
        <v>30</v>
      </c>
      <c r="N6" s="10"/>
    </row>
    <row r="7" customFormat="false" ht="35.05" hidden="false" customHeight="false" outlineLevel="0" collapsed="false">
      <c r="A7" s="9" t="s">
        <v>224</v>
      </c>
      <c r="B7" s="10" t="s">
        <v>225</v>
      </c>
      <c r="C7" s="10" t="s">
        <v>226</v>
      </c>
      <c r="D7" s="10" t="s">
        <v>22</v>
      </c>
      <c r="E7" s="10" t="s">
        <v>18</v>
      </c>
      <c r="F7" s="10" t="s">
        <v>220</v>
      </c>
      <c r="G7" s="10" t="s">
        <v>227</v>
      </c>
      <c r="H7" s="10" t="s">
        <v>228</v>
      </c>
      <c r="I7" s="10" t="s">
        <v>229</v>
      </c>
      <c r="J7" s="10" t="s">
        <v>24</v>
      </c>
      <c r="K7" s="10" t="s">
        <v>199</v>
      </c>
      <c r="L7" s="10" t="s">
        <v>65</v>
      </c>
      <c r="M7" s="10" t="s">
        <v>30</v>
      </c>
      <c r="N7" s="10"/>
    </row>
    <row r="8" customFormat="false" ht="23.85" hidden="false" customHeight="false" outlineLevel="0" collapsed="false">
      <c r="A8" s="9" t="s">
        <v>230</v>
      </c>
      <c r="B8" s="10" t="s">
        <v>231</v>
      </c>
      <c r="C8" s="10" t="s">
        <v>232</v>
      </c>
      <c r="D8" s="10" t="s">
        <v>20</v>
      </c>
      <c r="E8" s="10" t="s">
        <v>17</v>
      </c>
      <c r="F8" s="10" t="s">
        <v>233</v>
      </c>
      <c r="G8" s="10" t="s">
        <v>68</v>
      </c>
      <c r="H8" s="10" t="s">
        <v>234</v>
      </c>
      <c r="I8" s="10" t="s">
        <v>235</v>
      </c>
      <c r="J8" s="10" t="s">
        <v>24</v>
      </c>
      <c r="K8" s="10" t="s">
        <v>199</v>
      </c>
      <c r="L8" s="10" t="s">
        <v>65</v>
      </c>
      <c r="M8" s="10" t="s">
        <v>30</v>
      </c>
      <c r="N8" s="10"/>
    </row>
    <row r="9" customFormat="false" ht="23.85" hidden="false" customHeight="false" outlineLevel="0" collapsed="false">
      <c r="A9" s="9" t="s">
        <v>236</v>
      </c>
      <c r="B9" s="10" t="s">
        <v>231</v>
      </c>
      <c r="C9" s="10" t="s">
        <v>237</v>
      </c>
      <c r="D9" s="10" t="s">
        <v>22</v>
      </c>
      <c r="E9" s="10" t="s">
        <v>18</v>
      </c>
      <c r="F9" s="10" t="s">
        <v>238</v>
      </c>
      <c r="G9" s="10" t="s">
        <v>68</v>
      </c>
      <c r="H9" s="10" t="s">
        <v>239</v>
      </c>
      <c r="I9" s="10" t="s">
        <v>240</v>
      </c>
      <c r="J9" s="10" t="s">
        <v>24</v>
      </c>
      <c r="K9" s="10" t="s">
        <v>199</v>
      </c>
      <c r="L9" s="10" t="s">
        <v>65</v>
      </c>
      <c r="M9" s="10" t="s">
        <v>30</v>
      </c>
      <c r="N9" s="10"/>
    </row>
    <row r="10" customFormat="false" ht="46.25" hidden="false" customHeight="false" outlineLevel="0" collapsed="false">
      <c r="A10" s="9" t="s">
        <v>241</v>
      </c>
      <c r="B10" s="10" t="s">
        <v>242</v>
      </c>
      <c r="C10" s="10" t="s">
        <v>243</v>
      </c>
      <c r="D10" s="10" t="s">
        <v>20</v>
      </c>
      <c r="E10" s="10" t="s">
        <v>17</v>
      </c>
      <c r="F10" s="10" t="s">
        <v>220</v>
      </c>
      <c r="G10" s="10" t="s">
        <v>244</v>
      </c>
      <c r="H10" s="10" t="s">
        <v>245</v>
      </c>
      <c r="I10" s="10" t="s">
        <v>246</v>
      </c>
      <c r="J10" s="10" t="s">
        <v>24</v>
      </c>
      <c r="K10" s="10" t="s">
        <v>199</v>
      </c>
      <c r="L10" s="10" t="s">
        <v>65</v>
      </c>
      <c r="M10" s="10" t="s">
        <v>30</v>
      </c>
      <c r="N10" s="10"/>
    </row>
    <row r="11" customFormat="false" ht="23.85" hidden="false" customHeight="false" outlineLevel="0" collapsed="false">
      <c r="A11" s="9" t="s">
        <v>247</v>
      </c>
      <c r="B11" s="10" t="s">
        <v>248</v>
      </c>
      <c r="C11" s="10" t="s">
        <v>249</v>
      </c>
      <c r="D11" s="10" t="s">
        <v>20</v>
      </c>
      <c r="E11" s="10" t="s">
        <v>18</v>
      </c>
      <c r="F11" s="10" t="s">
        <v>181</v>
      </c>
      <c r="G11" s="10" t="s">
        <v>250</v>
      </c>
      <c r="H11" s="10" t="s">
        <v>251</v>
      </c>
      <c r="I11" s="10" t="s">
        <v>252</v>
      </c>
      <c r="J11" s="10" t="s">
        <v>24</v>
      </c>
      <c r="K11" s="10" t="s">
        <v>199</v>
      </c>
      <c r="L11" s="10" t="s">
        <v>253</v>
      </c>
      <c r="M11" s="10" t="s">
        <v>30</v>
      </c>
      <c r="N11" s="10"/>
    </row>
    <row r="12" customFormat="false" ht="23.85" hidden="false" customHeight="false" outlineLevel="0" collapsed="false">
      <c r="A12" s="9" t="s">
        <v>254</v>
      </c>
      <c r="B12" s="10" t="s">
        <v>90</v>
      </c>
      <c r="C12" s="10" t="s">
        <v>255</v>
      </c>
      <c r="D12" s="10" t="s">
        <v>90</v>
      </c>
      <c r="E12" s="10" t="s">
        <v>19</v>
      </c>
      <c r="F12" s="10" t="s">
        <v>256</v>
      </c>
      <c r="G12" s="10" t="s">
        <v>68</v>
      </c>
      <c r="H12" s="10" t="s">
        <v>257</v>
      </c>
      <c r="I12" s="10" t="s">
        <v>258</v>
      </c>
      <c r="J12" s="10" t="s">
        <v>26</v>
      </c>
      <c r="K12" s="10"/>
      <c r="L12" s="10"/>
      <c r="M12" s="10" t="s">
        <v>30</v>
      </c>
      <c r="N12" s="10"/>
    </row>
    <row r="13" customFormat="false" ht="35.05" hidden="false" customHeight="false" outlineLevel="0" collapsed="false">
      <c r="A13" s="9" t="s">
        <v>259</v>
      </c>
      <c r="B13" s="10" t="s">
        <v>166</v>
      </c>
      <c r="C13" s="10" t="s">
        <v>260</v>
      </c>
      <c r="D13" s="10" t="s">
        <v>22</v>
      </c>
      <c r="E13" s="10" t="s">
        <v>18</v>
      </c>
      <c r="F13" s="10" t="s">
        <v>68</v>
      </c>
      <c r="G13" s="10" t="s">
        <v>261</v>
      </c>
      <c r="H13" s="10" t="s">
        <v>262</v>
      </c>
      <c r="I13" s="10" t="s">
        <v>263</v>
      </c>
      <c r="J13" s="10" t="s">
        <v>25</v>
      </c>
      <c r="K13" s="10"/>
      <c r="L13" s="10"/>
      <c r="M13" s="10" t="s">
        <v>30</v>
      </c>
      <c r="N13" s="10"/>
    </row>
    <row r="14" customFormat="false" ht="23.85" hidden="false" customHeight="false" outlineLevel="0" collapsed="false">
      <c r="A14" s="9" t="s">
        <v>264</v>
      </c>
      <c r="B14" s="10" t="s">
        <v>265</v>
      </c>
      <c r="C14" s="10" t="s">
        <v>266</v>
      </c>
      <c r="D14" s="10" t="s">
        <v>20</v>
      </c>
      <c r="E14" s="10" t="s">
        <v>19</v>
      </c>
      <c r="F14" s="10" t="s">
        <v>256</v>
      </c>
      <c r="G14" s="10" t="s">
        <v>267</v>
      </c>
      <c r="H14" s="10" t="s">
        <v>268</v>
      </c>
      <c r="I14" s="10" t="s">
        <v>269</v>
      </c>
      <c r="J14" s="10" t="s">
        <v>26</v>
      </c>
      <c r="K14" s="10"/>
      <c r="L14" s="10"/>
      <c r="M14" s="10" t="s">
        <v>30</v>
      </c>
      <c r="N14" s="10"/>
    </row>
    <row r="15" customFormat="false" ht="35.05" hidden="false" customHeight="false" outlineLevel="0" collapsed="false">
      <c r="A15" s="9" t="s">
        <v>270</v>
      </c>
      <c r="B15" s="10" t="s">
        <v>21</v>
      </c>
      <c r="C15" s="10" t="s">
        <v>271</v>
      </c>
      <c r="D15" s="10" t="s">
        <v>21</v>
      </c>
      <c r="E15" s="10" t="s">
        <v>19</v>
      </c>
      <c r="F15" s="10" t="s">
        <v>68</v>
      </c>
      <c r="G15" s="10" t="s">
        <v>272</v>
      </c>
      <c r="H15" s="10" t="s">
        <v>273</v>
      </c>
      <c r="I15" s="10" t="s">
        <v>274</v>
      </c>
      <c r="J15" s="10" t="s">
        <v>25</v>
      </c>
      <c r="K15" s="10"/>
      <c r="L15" s="10"/>
      <c r="M15" s="10" t="s">
        <v>30</v>
      </c>
      <c r="N15" s="10"/>
    </row>
    <row r="16" customFormat="false" ht="35.05" hidden="false" customHeight="false" outlineLevel="0" collapsed="false">
      <c r="A16" s="9" t="s">
        <v>275</v>
      </c>
      <c r="B16" s="10" t="s">
        <v>21</v>
      </c>
      <c r="C16" s="10" t="s">
        <v>276</v>
      </c>
      <c r="D16" s="10" t="s">
        <v>21</v>
      </c>
      <c r="E16" s="10" t="s">
        <v>19</v>
      </c>
      <c r="F16" s="10" t="s">
        <v>68</v>
      </c>
      <c r="G16" s="10" t="s">
        <v>277</v>
      </c>
      <c r="H16" s="10" t="s">
        <v>278</v>
      </c>
      <c r="I16" s="10" t="s">
        <v>279</v>
      </c>
      <c r="J16" s="10" t="s">
        <v>26</v>
      </c>
      <c r="K16" s="10"/>
      <c r="L16" s="10"/>
      <c r="M16" s="10" t="s">
        <v>30</v>
      </c>
      <c r="N16" s="10"/>
    </row>
    <row r="17" customFormat="false" ht="35.05" hidden="false" customHeight="false" outlineLevel="0" collapsed="false">
      <c r="A17" s="9" t="s">
        <v>280</v>
      </c>
      <c r="B17" s="10" t="s">
        <v>281</v>
      </c>
      <c r="C17" s="10" t="s">
        <v>282</v>
      </c>
      <c r="D17" s="10" t="s">
        <v>22</v>
      </c>
      <c r="E17" s="10" t="s">
        <v>19</v>
      </c>
      <c r="F17" s="10" t="s">
        <v>283</v>
      </c>
      <c r="G17" s="10" t="s">
        <v>68</v>
      </c>
      <c r="H17" s="10" t="s">
        <v>284</v>
      </c>
      <c r="I17" s="10" t="s">
        <v>285</v>
      </c>
      <c r="J17" s="10" t="s">
        <v>26</v>
      </c>
      <c r="K17" s="10"/>
      <c r="L17" s="10"/>
      <c r="M17" s="10" t="s">
        <v>30</v>
      </c>
      <c r="N17" s="10"/>
    </row>
    <row r="18" customFormat="false" ht="23.85" hidden="false" customHeight="false" outlineLevel="0" collapsed="false">
      <c r="A18" s="9" t="s">
        <v>286</v>
      </c>
      <c r="B18" s="10" t="s">
        <v>287</v>
      </c>
      <c r="C18" s="10" t="s">
        <v>288</v>
      </c>
      <c r="D18" s="10" t="s">
        <v>22</v>
      </c>
      <c r="E18" s="10" t="s">
        <v>19</v>
      </c>
      <c r="F18" s="10" t="s">
        <v>181</v>
      </c>
      <c r="G18" s="10" t="s">
        <v>289</v>
      </c>
      <c r="H18" s="10" t="s">
        <v>290</v>
      </c>
      <c r="I18" s="10" t="s">
        <v>291</v>
      </c>
      <c r="J18" s="10" t="s">
        <v>25</v>
      </c>
      <c r="K18" s="10"/>
      <c r="L18" s="10"/>
      <c r="M18" s="10" t="s">
        <v>30</v>
      </c>
      <c r="N18" s="10"/>
    </row>
    <row r="19" customFormat="false" ht="23.85" hidden="false" customHeight="false" outlineLevel="0" collapsed="false">
      <c r="A19" s="9" t="s">
        <v>292</v>
      </c>
      <c r="B19" s="10" t="s">
        <v>231</v>
      </c>
      <c r="C19" s="10" t="s">
        <v>293</v>
      </c>
      <c r="D19" s="10" t="s">
        <v>22</v>
      </c>
      <c r="E19" s="10" t="s">
        <v>19</v>
      </c>
      <c r="F19" s="10" t="s">
        <v>294</v>
      </c>
      <c r="G19" s="10" t="s">
        <v>68</v>
      </c>
      <c r="H19" s="10" t="s">
        <v>295</v>
      </c>
      <c r="I19" s="10" t="s">
        <v>296</v>
      </c>
      <c r="J19" s="10" t="s">
        <v>25</v>
      </c>
      <c r="K19" s="10"/>
      <c r="L19" s="10"/>
      <c r="M19" s="10" t="s">
        <v>30</v>
      </c>
      <c r="N19" s="10"/>
    </row>
    <row r="20" customFormat="false" ht="35.05" hidden="false" customHeight="false" outlineLevel="0" collapsed="false">
      <c r="A20" s="9" t="s">
        <v>297</v>
      </c>
      <c r="B20" s="10" t="s">
        <v>298</v>
      </c>
      <c r="C20" s="10" t="s">
        <v>299</v>
      </c>
      <c r="D20" s="10" t="s">
        <v>22</v>
      </c>
      <c r="E20" s="10" t="s">
        <v>19</v>
      </c>
      <c r="F20" s="10" t="s">
        <v>181</v>
      </c>
      <c r="G20" s="10" t="s">
        <v>68</v>
      </c>
      <c r="H20" s="10" t="s">
        <v>300</v>
      </c>
      <c r="I20" s="10" t="s">
        <v>301</v>
      </c>
      <c r="J20" s="10" t="s">
        <v>26</v>
      </c>
      <c r="K20" s="10"/>
      <c r="L20" s="10"/>
      <c r="M20" s="10" t="s">
        <v>30</v>
      </c>
      <c r="N20" s="10"/>
    </row>
    <row r="21" customFormat="false" ht="23.85" hidden="false" customHeight="false" outlineLevel="0" collapsed="false">
      <c r="A21" s="9" t="s">
        <v>302</v>
      </c>
      <c r="B21" s="10" t="s">
        <v>303</v>
      </c>
      <c r="C21" s="10" t="s">
        <v>304</v>
      </c>
      <c r="D21" s="10" t="s">
        <v>22</v>
      </c>
      <c r="E21" s="10" t="s">
        <v>19</v>
      </c>
      <c r="F21" s="10" t="s">
        <v>305</v>
      </c>
      <c r="G21" s="10" t="s">
        <v>68</v>
      </c>
      <c r="H21" s="10" t="s">
        <v>306</v>
      </c>
      <c r="I21" s="10" t="s">
        <v>307</v>
      </c>
      <c r="J21" s="10" t="s">
        <v>26</v>
      </c>
      <c r="K21" s="10"/>
      <c r="L21" s="10"/>
      <c r="M21" s="10" t="s">
        <v>30</v>
      </c>
      <c r="N21" s="10"/>
    </row>
    <row r="22" customFormat="false" ht="23.85" hidden="false" customHeight="false" outlineLevel="0" collapsed="false">
      <c r="A22" s="9" t="s">
        <v>308</v>
      </c>
      <c r="B22" s="10" t="s">
        <v>186</v>
      </c>
      <c r="C22" s="10" t="s">
        <v>309</v>
      </c>
      <c r="D22" s="10" t="s">
        <v>186</v>
      </c>
      <c r="E22" s="10" t="s">
        <v>18</v>
      </c>
      <c r="F22" s="10" t="s">
        <v>68</v>
      </c>
      <c r="G22" s="10" t="s">
        <v>68</v>
      </c>
      <c r="H22" s="10" t="s">
        <v>310</v>
      </c>
      <c r="I22" s="10" t="s">
        <v>311</v>
      </c>
      <c r="J22" s="10" t="s">
        <v>24</v>
      </c>
      <c r="K22" s="10" t="s">
        <v>190</v>
      </c>
      <c r="L22" s="10" t="s">
        <v>312</v>
      </c>
      <c r="M22" s="10" t="s">
        <v>30</v>
      </c>
      <c r="N22" s="10"/>
    </row>
  </sheetData>
  <autoFilter ref="A1:N22"/>
  <conditionalFormatting sqref="M2:M22">
    <cfRule type="cellIs" priority="2" operator="equal" aboveAverage="0" equalAverage="0" bottom="0" percent="0" rank="0" text="" dxfId="3">
      <formula>"Pass"</formula>
    </cfRule>
    <cfRule type="cellIs" priority="3" operator="equal" aboveAverage="0" equalAverage="0" bottom="0" percent="0" rank="0" text="" dxfId="4">
      <formula>"Fail"</formula>
    </cfRule>
    <cfRule type="cellIs" priority="4" operator="equal" aboveAverage="0" equalAverage="0" bottom="0" percent="0" rank="0" text="" dxfId="5">
      <formula>"Expected Fail"</formula>
    </cfRule>
  </conditionalFormatting>
  <conditionalFormatting sqref="L2:L22">
    <cfRule type="expression" priority="5" aboveAverage="0" equalAverage="0" bottom="0" percent="0" rank="0" text="" dxfId="5">
      <formula>ISNUMBER(SEARCH("@known-bug",L2))</formula>
    </cfRule>
  </conditionalFormatting>
  <dataValidations count="3">
    <dataValidation allowBlank="true" errorStyle="stop" operator="between" showDropDown="false" showErrorMessage="false" showInputMessage="false" sqref="M2:M22" type="list">
      <formula1>"Not Run,Pass,Fail,Blocked,Expected Fail"</formula1>
      <formula2>0</formula2>
    </dataValidation>
    <dataValidation allowBlank="true" errorStyle="stop" operator="between" showDropDown="false" showErrorMessage="false" showInputMessage="false" sqref="J2:J22" type="list">
      <formula1>"Automated,Candidate,Manual"</formula1>
      <formula2>0</formula2>
    </dataValidation>
    <dataValidation allowBlank="true" errorStyle="stop" operator="between" showDropDown="false" showErrorMessage="false" showInputMessage="false" sqref="E2:E22" type="list">
      <formula1>"P1,P2,P3"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7" min="6" style="0" width="28"/>
    <col collapsed="false" customWidth="true" hidden="false" outlineLevel="0" max="8" min="8" style="0" width="52"/>
    <col collapsed="false" customWidth="true" hidden="false" outlineLevel="0" max="9" min="9" style="0" width="48"/>
    <col collapsed="false" customWidth="true" hidden="false" outlineLevel="0" max="10" min="10" style="0" width="13"/>
    <col collapsed="false" customWidth="true" hidden="false" outlineLevel="0" max="11" min="11" style="0" width="30"/>
    <col collapsed="false" customWidth="true" hidden="false" outlineLevel="0" max="12" min="12" style="0" width="18"/>
    <col collapsed="false" customWidth="true" hidden="false" outlineLevel="0" max="13" min="13" style="0" width="11"/>
    <col collapsed="false" customWidth="true" hidden="false" outlineLevel="0" max="14" min="14" style="0" width="34"/>
  </cols>
  <sheetData>
    <row r="1" customFormat="false" ht="26.85" hidden="false" customHeight="false" outlineLevel="0" collapsed="false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  <c r="N1" s="4" t="s">
        <v>49</v>
      </c>
    </row>
    <row r="2" customFormat="false" ht="91" hidden="false" customHeight="false" outlineLevel="0" collapsed="false">
      <c r="A2" s="9" t="s">
        <v>313</v>
      </c>
      <c r="B2" s="10" t="s">
        <v>314</v>
      </c>
      <c r="C2" s="10" t="s">
        <v>315</v>
      </c>
      <c r="D2" s="10" t="s">
        <v>20</v>
      </c>
      <c r="E2" s="10" t="s">
        <v>17</v>
      </c>
      <c r="F2" s="10" t="s">
        <v>316</v>
      </c>
      <c r="G2" s="10" t="s">
        <v>317</v>
      </c>
      <c r="H2" s="10" t="s">
        <v>318</v>
      </c>
      <c r="I2" s="10" t="s">
        <v>319</v>
      </c>
      <c r="J2" s="10" t="s">
        <v>24</v>
      </c>
      <c r="K2" s="10" t="s">
        <v>320</v>
      </c>
      <c r="L2" s="10" t="s">
        <v>321</v>
      </c>
      <c r="M2" s="10" t="s">
        <v>30</v>
      </c>
      <c r="N2" s="10"/>
    </row>
    <row r="3" customFormat="false" ht="35.05" hidden="false" customHeight="false" outlineLevel="0" collapsed="false">
      <c r="A3" s="9" t="s">
        <v>322</v>
      </c>
      <c r="B3" s="10" t="s">
        <v>323</v>
      </c>
      <c r="C3" s="10" t="s">
        <v>324</v>
      </c>
      <c r="D3" s="10" t="s">
        <v>20</v>
      </c>
      <c r="E3" s="10" t="s">
        <v>17</v>
      </c>
      <c r="F3" s="10" t="s">
        <v>325</v>
      </c>
      <c r="G3" s="10" t="s">
        <v>326</v>
      </c>
      <c r="H3" s="10" t="s">
        <v>327</v>
      </c>
      <c r="I3" s="10" t="s">
        <v>328</v>
      </c>
      <c r="J3" s="10" t="s">
        <v>24</v>
      </c>
      <c r="K3" s="10" t="s">
        <v>320</v>
      </c>
      <c r="L3" s="10" t="s">
        <v>65</v>
      </c>
      <c r="M3" s="10" t="s">
        <v>30</v>
      </c>
      <c r="N3" s="10"/>
    </row>
    <row r="4" customFormat="false" ht="35.05" hidden="false" customHeight="false" outlineLevel="0" collapsed="false">
      <c r="A4" s="9" t="s">
        <v>329</v>
      </c>
      <c r="B4" s="10" t="s">
        <v>323</v>
      </c>
      <c r="C4" s="10" t="s">
        <v>330</v>
      </c>
      <c r="D4" s="10" t="s">
        <v>22</v>
      </c>
      <c r="E4" s="10" t="s">
        <v>18</v>
      </c>
      <c r="F4" s="10" t="s">
        <v>238</v>
      </c>
      <c r="G4" s="10" t="s">
        <v>331</v>
      </c>
      <c r="H4" s="10" t="s">
        <v>332</v>
      </c>
      <c r="I4" s="10" t="s">
        <v>333</v>
      </c>
      <c r="J4" s="10" t="s">
        <v>24</v>
      </c>
      <c r="K4" s="10" t="s">
        <v>320</v>
      </c>
      <c r="L4" s="10" t="s">
        <v>65</v>
      </c>
      <c r="M4" s="10" t="s">
        <v>30</v>
      </c>
      <c r="N4" s="10"/>
    </row>
    <row r="5" customFormat="false" ht="35.05" hidden="false" customHeight="false" outlineLevel="0" collapsed="false">
      <c r="A5" s="9" t="s">
        <v>334</v>
      </c>
      <c r="B5" s="10" t="s">
        <v>335</v>
      </c>
      <c r="C5" s="10" t="s">
        <v>336</v>
      </c>
      <c r="D5" s="10" t="s">
        <v>21</v>
      </c>
      <c r="E5" s="10" t="s">
        <v>17</v>
      </c>
      <c r="F5" s="10" t="s">
        <v>238</v>
      </c>
      <c r="G5" s="10" t="s">
        <v>337</v>
      </c>
      <c r="H5" s="10" t="s">
        <v>338</v>
      </c>
      <c r="I5" s="10" t="s">
        <v>339</v>
      </c>
      <c r="J5" s="10" t="s">
        <v>24</v>
      </c>
      <c r="K5" s="10" t="s">
        <v>320</v>
      </c>
      <c r="L5" s="10" t="s">
        <v>65</v>
      </c>
      <c r="M5" s="10" t="s">
        <v>30</v>
      </c>
      <c r="N5" s="10"/>
    </row>
    <row r="6" customFormat="false" ht="35.05" hidden="false" customHeight="false" outlineLevel="0" collapsed="false">
      <c r="A6" s="9" t="s">
        <v>340</v>
      </c>
      <c r="B6" s="10" t="s">
        <v>335</v>
      </c>
      <c r="C6" s="10" t="s">
        <v>341</v>
      </c>
      <c r="D6" s="10" t="s">
        <v>21</v>
      </c>
      <c r="E6" s="10" t="s">
        <v>17</v>
      </c>
      <c r="F6" s="10" t="s">
        <v>238</v>
      </c>
      <c r="G6" s="10" t="s">
        <v>342</v>
      </c>
      <c r="H6" s="10" t="s">
        <v>343</v>
      </c>
      <c r="I6" s="10" t="s">
        <v>339</v>
      </c>
      <c r="J6" s="10" t="s">
        <v>24</v>
      </c>
      <c r="K6" s="10" t="s">
        <v>320</v>
      </c>
      <c r="L6" s="10" t="s">
        <v>65</v>
      </c>
      <c r="M6" s="10" t="s">
        <v>30</v>
      </c>
      <c r="N6" s="10"/>
    </row>
    <row r="7" customFormat="false" ht="23.85" hidden="false" customHeight="false" outlineLevel="0" collapsed="false">
      <c r="A7" s="9" t="s">
        <v>344</v>
      </c>
      <c r="B7" s="10" t="s">
        <v>335</v>
      </c>
      <c r="C7" s="10" t="s">
        <v>345</v>
      </c>
      <c r="D7" s="10" t="s">
        <v>21</v>
      </c>
      <c r="E7" s="10" t="s">
        <v>18</v>
      </c>
      <c r="F7" s="10" t="s">
        <v>238</v>
      </c>
      <c r="G7" s="10" t="s">
        <v>346</v>
      </c>
      <c r="H7" s="10" t="s">
        <v>347</v>
      </c>
      <c r="I7" s="10" t="s">
        <v>348</v>
      </c>
      <c r="J7" s="10" t="s">
        <v>24</v>
      </c>
      <c r="K7" s="10" t="s">
        <v>320</v>
      </c>
      <c r="L7" s="10" t="s">
        <v>65</v>
      </c>
      <c r="M7" s="10" t="s">
        <v>30</v>
      </c>
      <c r="N7" s="10"/>
    </row>
    <row r="8" customFormat="false" ht="35.05" hidden="false" customHeight="false" outlineLevel="0" collapsed="false">
      <c r="A8" s="9" t="s">
        <v>349</v>
      </c>
      <c r="B8" s="10" t="s">
        <v>335</v>
      </c>
      <c r="C8" s="10" t="s">
        <v>350</v>
      </c>
      <c r="D8" s="10" t="s">
        <v>21</v>
      </c>
      <c r="E8" s="10" t="s">
        <v>18</v>
      </c>
      <c r="F8" s="10" t="s">
        <v>238</v>
      </c>
      <c r="G8" s="10" t="s">
        <v>351</v>
      </c>
      <c r="H8" s="10" t="s">
        <v>352</v>
      </c>
      <c r="I8" s="10" t="s">
        <v>353</v>
      </c>
      <c r="J8" s="10" t="s">
        <v>24</v>
      </c>
      <c r="K8" s="10" t="s">
        <v>320</v>
      </c>
      <c r="L8" s="10" t="s">
        <v>354</v>
      </c>
      <c r="M8" s="10" t="s">
        <v>30</v>
      </c>
      <c r="N8" s="10"/>
    </row>
    <row r="9" customFormat="false" ht="23.85" hidden="false" customHeight="false" outlineLevel="0" collapsed="false">
      <c r="A9" s="9" t="s">
        <v>355</v>
      </c>
      <c r="B9" s="10" t="s">
        <v>335</v>
      </c>
      <c r="C9" s="10" t="s">
        <v>356</v>
      </c>
      <c r="D9" s="10" t="s">
        <v>90</v>
      </c>
      <c r="E9" s="10" t="s">
        <v>19</v>
      </c>
      <c r="F9" s="10" t="s">
        <v>238</v>
      </c>
      <c r="G9" s="10" t="s">
        <v>357</v>
      </c>
      <c r="H9" s="10" t="s">
        <v>358</v>
      </c>
      <c r="I9" s="10" t="s">
        <v>359</v>
      </c>
      <c r="J9" s="10" t="s">
        <v>24</v>
      </c>
      <c r="K9" s="10" t="s">
        <v>320</v>
      </c>
      <c r="L9" s="10" t="s">
        <v>65</v>
      </c>
      <c r="M9" s="10" t="s">
        <v>30</v>
      </c>
      <c r="N9" s="10"/>
    </row>
    <row r="10" customFormat="false" ht="46.25" hidden="false" customHeight="false" outlineLevel="0" collapsed="false">
      <c r="A10" s="9" t="s">
        <v>360</v>
      </c>
      <c r="B10" s="10" t="s">
        <v>105</v>
      </c>
      <c r="C10" s="10" t="s">
        <v>361</v>
      </c>
      <c r="D10" s="10" t="s">
        <v>22</v>
      </c>
      <c r="E10" s="10" t="s">
        <v>18</v>
      </c>
      <c r="F10" s="10" t="s">
        <v>238</v>
      </c>
      <c r="G10" s="10" t="s">
        <v>362</v>
      </c>
      <c r="H10" s="10" t="s">
        <v>363</v>
      </c>
      <c r="I10" s="10" t="s">
        <v>364</v>
      </c>
      <c r="J10" s="10" t="s">
        <v>24</v>
      </c>
      <c r="K10" s="10" t="s">
        <v>320</v>
      </c>
      <c r="L10" s="10" t="s">
        <v>65</v>
      </c>
      <c r="M10" s="10" t="s">
        <v>30</v>
      </c>
      <c r="N10" s="10"/>
    </row>
    <row r="11" customFormat="false" ht="23.85" hidden="false" customHeight="false" outlineLevel="0" collapsed="false">
      <c r="A11" s="9" t="s">
        <v>365</v>
      </c>
      <c r="B11" s="10" t="s">
        <v>134</v>
      </c>
      <c r="C11" s="10" t="s">
        <v>366</v>
      </c>
      <c r="D11" s="10" t="s">
        <v>22</v>
      </c>
      <c r="E11" s="10" t="s">
        <v>19</v>
      </c>
      <c r="F11" s="10" t="s">
        <v>238</v>
      </c>
      <c r="G11" s="10" t="s">
        <v>367</v>
      </c>
      <c r="H11" s="10" t="s">
        <v>368</v>
      </c>
      <c r="I11" s="10" t="s">
        <v>369</v>
      </c>
      <c r="J11" s="10" t="s">
        <v>24</v>
      </c>
      <c r="K11" s="10" t="s">
        <v>320</v>
      </c>
      <c r="L11" s="10" t="s">
        <v>65</v>
      </c>
      <c r="M11" s="10" t="s">
        <v>30</v>
      </c>
      <c r="N11" s="10"/>
    </row>
    <row r="12" customFormat="false" ht="23.85" hidden="false" customHeight="false" outlineLevel="0" collapsed="false">
      <c r="A12" s="9" t="s">
        <v>370</v>
      </c>
      <c r="B12" s="10" t="s">
        <v>371</v>
      </c>
      <c r="C12" s="10" t="s">
        <v>372</v>
      </c>
      <c r="D12" s="10" t="s">
        <v>20</v>
      </c>
      <c r="E12" s="10" t="s">
        <v>18</v>
      </c>
      <c r="F12" s="10" t="s">
        <v>238</v>
      </c>
      <c r="G12" s="10" t="s">
        <v>68</v>
      </c>
      <c r="H12" s="10" t="s">
        <v>373</v>
      </c>
      <c r="I12" s="10" t="s">
        <v>374</v>
      </c>
      <c r="J12" s="10" t="s">
        <v>24</v>
      </c>
      <c r="K12" s="10" t="s">
        <v>320</v>
      </c>
      <c r="L12" s="10" t="s">
        <v>354</v>
      </c>
      <c r="M12" s="10" t="s">
        <v>30</v>
      </c>
      <c r="N12" s="10"/>
    </row>
    <row r="13" customFormat="false" ht="35.05" hidden="false" customHeight="false" outlineLevel="0" collapsed="false">
      <c r="A13" s="9" t="s">
        <v>375</v>
      </c>
      <c r="B13" s="10" t="s">
        <v>21</v>
      </c>
      <c r="C13" s="10" t="s">
        <v>376</v>
      </c>
      <c r="D13" s="10" t="s">
        <v>21</v>
      </c>
      <c r="E13" s="10" t="s">
        <v>17</v>
      </c>
      <c r="F13" s="10" t="s">
        <v>201</v>
      </c>
      <c r="G13" s="10" t="s">
        <v>377</v>
      </c>
      <c r="H13" s="10" t="s">
        <v>378</v>
      </c>
      <c r="I13" s="10" t="s">
        <v>379</v>
      </c>
      <c r="J13" s="10" t="s">
        <v>24</v>
      </c>
      <c r="K13" s="10" t="s">
        <v>320</v>
      </c>
      <c r="L13" s="10" t="s">
        <v>354</v>
      </c>
      <c r="M13" s="10" t="s">
        <v>30</v>
      </c>
      <c r="N13" s="10"/>
    </row>
    <row r="14" customFormat="false" ht="15" hidden="false" customHeight="false" outlineLevel="0" collapsed="false">
      <c r="A14" s="9" t="s">
        <v>380</v>
      </c>
      <c r="B14" s="10" t="s">
        <v>335</v>
      </c>
      <c r="C14" s="10" t="s">
        <v>381</v>
      </c>
      <c r="D14" s="10" t="s">
        <v>21</v>
      </c>
      <c r="E14" s="10" t="s">
        <v>18</v>
      </c>
      <c r="F14" s="10" t="s">
        <v>238</v>
      </c>
      <c r="G14" s="10" t="s">
        <v>382</v>
      </c>
      <c r="H14" s="10" t="s">
        <v>383</v>
      </c>
      <c r="I14" s="10" t="s">
        <v>384</v>
      </c>
      <c r="J14" s="10" t="s">
        <v>24</v>
      </c>
      <c r="K14" s="10" t="s">
        <v>320</v>
      </c>
      <c r="L14" s="10" t="s">
        <v>354</v>
      </c>
      <c r="M14" s="10" t="s">
        <v>30</v>
      </c>
      <c r="N14" s="10"/>
    </row>
    <row r="15" customFormat="false" ht="23.85" hidden="false" customHeight="false" outlineLevel="0" collapsed="false">
      <c r="A15" s="9" t="s">
        <v>385</v>
      </c>
      <c r="B15" s="10" t="s">
        <v>111</v>
      </c>
      <c r="C15" s="10" t="s">
        <v>386</v>
      </c>
      <c r="D15" s="10" t="s">
        <v>111</v>
      </c>
      <c r="E15" s="10" t="s">
        <v>18</v>
      </c>
      <c r="F15" s="10" t="s">
        <v>238</v>
      </c>
      <c r="G15" s="10" t="s">
        <v>387</v>
      </c>
      <c r="H15" s="10" t="s">
        <v>388</v>
      </c>
      <c r="I15" s="10" t="s">
        <v>389</v>
      </c>
      <c r="J15" s="10" t="s">
        <v>24</v>
      </c>
      <c r="K15" s="10" t="s">
        <v>320</v>
      </c>
      <c r="L15" s="10" t="s">
        <v>354</v>
      </c>
      <c r="M15" s="10" t="s">
        <v>30</v>
      </c>
      <c r="N15" s="10"/>
    </row>
    <row r="16" customFormat="false" ht="23.85" hidden="false" customHeight="false" outlineLevel="0" collapsed="false">
      <c r="A16" s="9" t="s">
        <v>390</v>
      </c>
      <c r="B16" s="10" t="s">
        <v>335</v>
      </c>
      <c r="C16" s="10" t="s">
        <v>391</v>
      </c>
      <c r="D16" s="10" t="s">
        <v>21</v>
      </c>
      <c r="E16" s="10" t="s">
        <v>19</v>
      </c>
      <c r="F16" s="10" t="s">
        <v>238</v>
      </c>
      <c r="G16" s="10" t="s">
        <v>392</v>
      </c>
      <c r="H16" s="10" t="s">
        <v>393</v>
      </c>
      <c r="I16" s="10" t="s">
        <v>394</v>
      </c>
      <c r="J16" s="10" t="s">
        <v>25</v>
      </c>
      <c r="K16" s="10"/>
      <c r="L16" s="10"/>
      <c r="M16" s="10" t="s">
        <v>30</v>
      </c>
      <c r="N16" s="10"/>
    </row>
    <row r="17" customFormat="false" ht="23.85" hidden="false" customHeight="false" outlineLevel="0" collapsed="false">
      <c r="A17" s="9" t="s">
        <v>395</v>
      </c>
      <c r="B17" s="10" t="s">
        <v>166</v>
      </c>
      <c r="C17" s="10" t="s">
        <v>396</v>
      </c>
      <c r="D17" s="10" t="s">
        <v>22</v>
      </c>
      <c r="E17" s="10" t="s">
        <v>19</v>
      </c>
      <c r="F17" s="10" t="s">
        <v>238</v>
      </c>
      <c r="G17" s="10" t="s">
        <v>362</v>
      </c>
      <c r="H17" s="10" t="s">
        <v>397</v>
      </c>
      <c r="I17" s="10" t="s">
        <v>398</v>
      </c>
      <c r="J17" s="10" t="s">
        <v>26</v>
      </c>
      <c r="K17" s="10"/>
      <c r="L17" s="10"/>
      <c r="M17" s="10" t="s">
        <v>30</v>
      </c>
      <c r="N17" s="10"/>
    </row>
    <row r="18" customFormat="false" ht="23.85" hidden="false" customHeight="false" outlineLevel="0" collapsed="false">
      <c r="A18" s="9" t="s">
        <v>399</v>
      </c>
      <c r="B18" s="10" t="s">
        <v>134</v>
      </c>
      <c r="C18" s="10" t="s">
        <v>400</v>
      </c>
      <c r="D18" s="10" t="s">
        <v>22</v>
      </c>
      <c r="E18" s="10" t="s">
        <v>19</v>
      </c>
      <c r="F18" s="10" t="s">
        <v>238</v>
      </c>
      <c r="G18" s="10" t="s">
        <v>401</v>
      </c>
      <c r="H18" s="10" t="s">
        <v>402</v>
      </c>
      <c r="I18" s="10" t="s">
        <v>403</v>
      </c>
      <c r="J18" s="10" t="s">
        <v>25</v>
      </c>
      <c r="K18" s="10"/>
      <c r="L18" s="10"/>
      <c r="M18" s="10" t="s">
        <v>30</v>
      </c>
      <c r="N18" s="10"/>
    </row>
  </sheetData>
  <autoFilter ref="A1:N18"/>
  <conditionalFormatting sqref="M2:M18">
    <cfRule type="cellIs" priority="2" operator="equal" aboveAverage="0" equalAverage="0" bottom="0" percent="0" rank="0" text="" dxfId="3">
      <formula>"Pass"</formula>
    </cfRule>
    <cfRule type="cellIs" priority="3" operator="equal" aboveAverage="0" equalAverage="0" bottom="0" percent="0" rank="0" text="" dxfId="4">
      <formula>"Fail"</formula>
    </cfRule>
    <cfRule type="cellIs" priority="4" operator="equal" aboveAverage="0" equalAverage="0" bottom="0" percent="0" rank="0" text="" dxfId="5">
      <formula>"Expected Fail"</formula>
    </cfRule>
  </conditionalFormatting>
  <conditionalFormatting sqref="L2:L18">
    <cfRule type="expression" priority="5" aboveAverage="0" equalAverage="0" bottom="0" percent="0" rank="0" text="" dxfId="5">
      <formula>ISNUMBER(SEARCH("@known-bug",L2))</formula>
    </cfRule>
  </conditionalFormatting>
  <dataValidations count="3">
    <dataValidation allowBlank="true" errorStyle="stop" operator="between" showDropDown="false" showErrorMessage="false" showInputMessage="false" sqref="M2:M18" type="list">
      <formula1>"Not Run,Pass,Fail,Blocked,Expected Fail"</formula1>
      <formula2>0</formula2>
    </dataValidation>
    <dataValidation allowBlank="true" errorStyle="stop" operator="between" showDropDown="false" showErrorMessage="false" showInputMessage="false" sqref="J2:J18" type="list">
      <formula1>"Automated,Candidate,Manual"</formula1>
      <formula2>0</formula2>
    </dataValidation>
    <dataValidation allowBlank="true" errorStyle="stop" operator="between" showDropDown="false" showErrorMessage="false" showInputMessage="false" sqref="E2:E18" type="list">
      <formula1>"P1,P2,P3"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7" min="6" style="0" width="28"/>
    <col collapsed="false" customWidth="true" hidden="false" outlineLevel="0" max="8" min="8" style="0" width="52"/>
    <col collapsed="false" customWidth="true" hidden="false" outlineLevel="0" max="9" min="9" style="0" width="48"/>
    <col collapsed="false" customWidth="true" hidden="false" outlineLevel="0" max="10" min="10" style="0" width="13"/>
    <col collapsed="false" customWidth="true" hidden="false" outlineLevel="0" max="11" min="11" style="0" width="30"/>
    <col collapsed="false" customWidth="true" hidden="false" outlineLevel="0" max="12" min="12" style="0" width="18"/>
    <col collapsed="false" customWidth="true" hidden="false" outlineLevel="0" max="13" min="13" style="0" width="11"/>
    <col collapsed="false" customWidth="true" hidden="false" outlineLevel="0" max="14" min="14" style="0" width="34"/>
  </cols>
  <sheetData>
    <row r="1" customFormat="false" ht="26.85" hidden="false" customHeight="false" outlineLevel="0" collapsed="false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  <c r="N1" s="4" t="s">
        <v>49</v>
      </c>
    </row>
    <row r="2" customFormat="false" ht="23.85" hidden="false" customHeight="false" outlineLevel="0" collapsed="false">
      <c r="A2" s="9" t="s">
        <v>404</v>
      </c>
      <c r="B2" s="10" t="s">
        <v>405</v>
      </c>
      <c r="C2" s="10" t="s">
        <v>406</v>
      </c>
      <c r="D2" s="10" t="s">
        <v>20</v>
      </c>
      <c r="E2" s="10" t="s">
        <v>17</v>
      </c>
      <c r="F2" s="10" t="s">
        <v>68</v>
      </c>
      <c r="G2" s="10" t="s">
        <v>407</v>
      </c>
      <c r="H2" s="10" t="s">
        <v>408</v>
      </c>
      <c r="I2" s="10" t="s">
        <v>409</v>
      </c>
      <c r="J2" s="10" t="s">
        <v>24</v>
      </c>
      <c r="K2" s="10" t="s">
        <v>410</v>
      </c>
      <c r="L2" s="10" t="s">
        <v>411</v>
      </c>
      <c r="M2" s="10" t="s">
        <v>30</v>
      </c>
      <c r="N2" s="10"/>
    </row>
    <row r="3" customFormat="false" ht="35.05" hidden="false" customHeight="false" outlineLevel="0" collapsed="false">
      <c r="A3" s="9" t="s">
        <v>412</v>
      </c>
      <c r="B3" s="10" t="s">
        <v>405</v>
      </c>
      <c r="C3" s="10" t="s">
        <v>413</v>
      </c>
      <c r="D3" s="10" t="s">
        <v>21</v>
      </c>
      <c r="E3" s="10" t="s">
        <v>18</v>
      </c>
      <c r="F3" s="10" t="s">
        <v>53</v>
      </c>
      <c r="G3" s="10" t="s">
        <v>126</v>
      </c>
      <c r="H3" s="10" t="s">
        <v>414</v>
      </c>
      <c r="I3" s="10" t="s">
        <v>415</v>
      </c>
      <c r="J3" s="10" t="s">
        <v>24</v>
      </c>
      <c r="K3" s="10" t="s">
        <v>410</v>
      </c>
      <c r="L3" s="10" t="s">
        <v>416</v>
      </c>
      <c r="M3" s="10" t="s">
        <v>30</v>
      </c>
      <c r="N3" s="10"/>
    </row>
    <row r="4" customFormat="false" ht="35.05" hidden="false" customHeight="false" outlineLevel="0" collapsed="false">
      <c r="A4" s="9" t="s">
        <v>417</v>
      </c>
      <c r="B4" s="10" t="s">
        <v>405</v>
      </c>
      <c r="C4" s="10" t="s">
        <v>418</v>
      </c>
      <c r="D4" s="10" t="s">
        <v>21</v>
      </c>
      <c r="E4" s="10" t="s">
        <v>17</v>
      </c>
      <c r="F4" s="10" t="s">
        <v>53</v>
      </c>
      <c r="G4" s="10" t="s">
        <v>419</v>
      </c>
      <c r="H4" s="10" t="s">
        <v>420</v>
      </c>
      <c r="I4" s="10" t="s">
        <v>421</v>
      </c>
      <c r="J4" s="10" t="s">
        <v>24</v>
      </c>
      <c r="K4" s="10" t="s">
        <v>410</v>
      </c>
      <c r="L4" s="10" t="s">
        <v>416</v>
      </c>
      <c r="M4" s="10" t="s">
        <v>30</v>
      </c>
      <c r="N4" s="10"/>
    </row>
    <row r="5" customFormat="false" ht="15" hidden="false" customHeight="false" outlineLevel="0" collapsed="false">
      <c r="A5" s="9" t="s">
        <v>422</v>
      </c>
      <c r="B5" s="10" t="s">
        <v>405</v>
      </c>
      <c r="C5" s="10" t="s">
        <v>423</v>
      </c>
      <c r="D5" s="10" t="s">
        <v>21</v>
      </c>
      <c r="E5" s="10" t="s">
        <v>18</v>
      </c>
      <c r="F5" s="10" t="s">
        <v>68</v>
      </c>
      <c r="G5" s="10" t="s">
        <v>424</v>
      </c>
      <c r="H5" s="10" t="s">
        <v>425</v>
      </c>
      <c r="I5" s="10" t="s">
        <v>426</v>
      </c>
      <c r="J5" s="10" t="s">
        <v>24</v>
      </c>
      <c r="K5" s="10" t="s">
        <v>410</v>
      </c>
      <c r="L5" s="10" t="s">
        <v>416</v>
      </c>
      <c r="M5" s="10" t="s">
        <v>30</v>
      </c>
      <c r="N5" s="10"/>
    </row>
    <row r="6" customFormat="false" ht="23.85" hidden="false" customHeight="false" outlineLevel="0" collapsed="false">
      <c r="A6" s="9" t="s">
        <v>427</v>
      </c>
      <c r="B6" s="10" t="s">
        <v>428</v>
      </c>
      <c r="C6" s="10" t="s">
        <v>429</v>
      </c>
      <c r="D6" s="10" t="s">
        <v>20</v>
      </c>
      <c r="E6" s="10" t="s">
        <v>17</v>
      </c>
      <c r="F6" s="10" t="s">
        <v>68</v>
      </c>
      <c r="G6" s="10" t="s">
        <v>68</v>
      </c>
      <c r="H6" s="10" t="s">
        <v>430</v>
      </c>
      <c r="I6" s="10" t="s">
        <v>431</v>
      </c>
      <c r="J6" s="10" t="s">
        <v>24</v>
      </c>
      <c r="K6" s="10" t="s">
        <v>432</v>
      </c>
      <c r="L6" s="10" t="s">
        <v>411</v>
      </c>
      <c r="M6" s="10" t="s">
        <v>30</v>
      </c>
      <c r="N6" s="10"/>
    </row>
    <row r="7" customFormat="false" ht="15" hidden="false" customHeight="false" outlineLevel="0" collapsed="false">
      <c r="A7" s="9" t="s">
        <v>433</v>
      </c>
      <c r="B7" s="10" t="s">
        <v>428</v>
      </c>
      <c r="C7" s="10" t="s">
        <v>434</v>
      </c>
      <c r="D7" s="10" t="s">
        <v>20</v>
      </c>
      <c r="E7" s="10" t="s">
        <v>18</v>
      </c>
      <c r="F7" s="10" t="s">
        <v>68</v>
      </c>
      <c r="G7" s="10" t="s">
        <v>435</v>
      </c>
      <c r="H7" s="10" t="s">
        <v>436</v>
      </c>
      <c r="I7" s="10" t="s">
        <v>437</v>
      </c>
      <c r="J7" s="10" t="s">
        <v>24</v>
      </c>
      <c r="K7" s="10" t="s">
        <v>432</v>
      </c>
      <c r="L7" s="10" t="s">
        <v>416</v>
      </c>
      <c r="M7" s="10" t="s">
        <v>30</v>
      </c>
      <c r="N7" s="10"/>
    </row>
    <row r="8" customFormat="false" ht="15" hidden="false" customHeight="false" outlineLevel="0" collapsed="false">
      <c r="A8" s="9" t="s">
        <v>438</v>
      </c>
      <c r="B8" s="10" t="s">
        <v>428</v>
      </c>
      <c r="C8" s="10" t="s">
        <v>439</v>
      </c>
      <c r="D8" s="10" t="s">
        <v>20</v>
      </c>
      <c r="E8" s="10" t="s">
        <v>18</v>
      </c>
      <c r="F8" s="10" t="s">
        <v>68</v>
      </c>
      <c r="G8" s="10" t="s">
        <v>440</v>
      </c>
      <c r="H8" s="10" t="s">
        <v>441</v>
      </c>
      <c r="I8" s="10" t="s">
        <v>442</v>
      </c>
      <c r="J8" s="10" t="s">
        <v>24</v>
      </c>
      <c r="K8" s="10" t="s">
        <v>432</v>
      </c>
      <c r="L8" s="10" t="s">
        <v>416</v>
      </c>
      <c r="M8" s="10" t="s">
        <v>30</v>
      </c>
      <c r="N8" s="10"/>
    </row>
    <row r="9" customFormat="false" ht="46.25" hidden="false" customHeight="false" outlineLevel="0" collapsed="false">
      <c r="A9" s="9" t="s">
        <v>443</v>
      </c>
      <c r="B9" s="10" t="s">
        <v>444</v>
      </c>
      <c r="C9" s="10" t="s">
        <v>445</v>
      </c>
      <c r="D9" s="10" t="s">
        <v>20</v>
      </c>
      <c r="E9" s="10" t="s">
        <v>17</v>
      </c>
      <c r="F9" s="10" t="s">
        <v>446</v>
      </c>
      <c r="G9" s="10" t="s">
        <v>210</v>
      </c>
      <c r="H9" s="10" t="s">
        <v>447</v>
      </c>
      <c r="I9" s="10" t="s">
        <v>448</v>
      </c>
      <c r="J9" s="10" t="s">
        <v>24</v>
      </c>
      <c r="K9" s="10" t="s">
        <v>432</v>
      </c>
      <c r="L9" s="10" t="s">
        <v>411</v>
      </c>
      <c r="M9" s="10" t="s">
        <v>30</v>
      </c>
      <c r="N9" s="10"/>
    </row>
    <row r="10" customFormat="false" ht="23.85" hidden="false" customHeight="false" outlineLevel="0" collapsed="false">
      <c r="A10" s="9" t="s">
        <v>449</v>
      </c>
      <c r="B10" s="10" t="s">
        <v>444</v>
      </c>
      <c r="C10" s="10" t="s">
        <v>450</v>
      </c>
      <c r="D10" s="10" t="s">
        <v>22</v>
      </c>
      <c r="E10" s="10" t="s">
        <v>18</v>
      </c>
      <c r="F10" s="10" t="s">
        <v>446</v>
      </c>
      <c r="G10" s="10" t="s">
        <v>227</v>
      </c>
      <c r="H10" s="10" t="s">
        <v>451</v>
      </c>
      <c r="I10" s="10" t="s">
        <v>452</v>
      </c>
      <c r="J10" s="10" t="s">
        <v>24</v>
      </c>
      <c r="K10" s="10" t="s">
        <v>432</v>
      </c>
      <c r="L10" s="10" t="s">
        <v>416</v>
      </c>
      <c r="M10" s="10" t="s">
        <v>30</v>
      </c>
      <c r="N10" s="10"/>
    </row>
    <row r="11" customFormat="false" ht="35.05" hidden="false" customHeight="false" outlineLevel="0" collapsed="false">
      <c r="A11" s="9" t="s">
        <v>453</v>
      </c>
      <c r="B11" s="10" t="s">
        <v>454</v>
      </c>
      <c r="C11" s="10" t="s">
        <v>455</v>
      </c>
      <c r="D11" s="10" t="s">
        <v>454</v>
      </c>
      <c r="E11" s="10" t="s">
        <v>18</v>
      </c>
      <c r="F11" s="10" t="s">
        <v>68</v>
      </c>
      <c r="G11" s="10" t="s">
        <v>456</v>
      </c>
      <c r="H11" s="10" t="s">
        <v>457</v>
      </c>
      <c r="I11" s="10" t="s">
        <v>458</v>
      </c>
      <c r="J11" s="10" t="s">
        <v>24</v>
      </c>
      <c r="K11" s="10" t="s">
        <v>459</v>
      </c>
      <c r="L11" s="10" t="s">
        <v>460</v>
      </c>
      <c r="M11" s="10" t="s">
        <v>30</v>
      </c>
      <c r="N11" s="10"/>
    </row>
    <row r="12" customFormat="false" ht="15" hidden="false" customHeight="false" outlineLevel="0" collapsed="false">
      <c r="A12" s="9" t="s">
        <v>461</v>
      </c>
      <c r="B12" s="10" t="s">
        <v>454</v>
      </c>
      <c r="C12" s="10" t="s">
        <v>462</v>
      </c>
      <c r="D12" s="10" t="s">
        <v>454</v>
      </c>
      <c r="E12" s="10" t="s">
        <v>18</v>
      </c>
      <c r="F12" s="10" t="s">
        <v>68</v>
      </c>
      <c r="G12" s="10" t="s">
        <v>463</v>
      </c>
      <c r="H12" s="10" t="s">
        <v>464</v>
      </c>
      <c r="I12" s="10" t="s">
        <v>465</v>
      </c>
      <c r="J12" s="10" t="s">
        <v>24</v>
      </c>
      <c r="K12" s="10" t="s">
        <v>459</v>
      </c>
      <c r="L12" s="10" t="s">
        <v>460</v>
      </c>
      <c r="M12" s="10" t="s">
        <v>30</v>
      </c>
      <c r="N12" s="10"/>
    </row>
    <row r="13" customFormat="false" ht="35.05" hidden="false" customHeight="false" outlineLevel="0" collapsed="false">
      <c r="A13" s="9" t="s">
        <v>466</v>
      </c>
      <c r="B13" s="10" t="s">
        <v>454</v>
      </c>
      <c r="C13" s="10" t="s">
        <v>467</v>
      </c>
      <c r="D13" s="10" t="s">
        <v>454</v>
      </c>
      <c r="E13" s="10" t="s">
        <v>19</v>
      </c>
      <c r="F13" s="10" t="s">
        <v>53</v>
      </c>
      <c r="G13" s="10" t="s">
        <v>68</v>
      </c>
      <c r="H13" s="10" t="s">
        <v>425</v>
      </c>
      <c r="I13" s="10" t="s">
        <v>468</v>
      </c>
      <c r="J13" s="10" t="s">
        <v>24</v>
      </c>
      <c r="K13" s="10" t="s">
        <v>459</v>
      </c>
      <c r="L13" s="10" t="s">
        <v>460</v>
      </c>
      <c r="M13" s="10" t="s">
        <v>30</v>
      </c>
      <c r="N13" s="10"/>
    </row>
    <row r="14" customFormat="false" ht="15" hidden="false" customHeight="false" outlineLevel="0" collapsed="false">
      <c r="A14" s="9" t="s">
        <v>469</v>
      </c>
      <c r="B14" s="10" t="s">
        <v>470</v>
      </c>
      <c r="C14" s="10" t="s">
        <v>471</v>
      </c>
      <c r="D14" s="10" t="s">
        <v>454</v>
      </c>
      <c r="E14" s="10" t="s">
        <v>19</v>
      </c>
      <c r="F14" s="10" t="s">
        <v>472</v>
      </c>
      <c r="G14" s="10" t="s">
        <v>473</v>
      </c>
      <c r="H14" s="10" t="s">
        <v>474</v>
      </c>
      <c r="I14" s="10" t="s">
        <v>475</v>
      </c>
      <c r="J14" s="10" t="s">
        <v>24</v>
      </c>
      <c r="K14" s="10" t="s">
        <v>476</v>
      </c>
      <c r="L14" s="10" t="s">
        <v>477</v>
      </c>
      <c r="M14" s="10" t="s">
        <v>30</v>
      </c>
      <c r="N14" s="10"/>
    </row>
  </sheetData>
  <autoFilter ref="A1:N14"/>
  <conditionalFormatting sqref="M2:M14">
    <cfRule type="cellIs" priority="2" operator="equal" aboveAverage="0" equalAverage="0" bottom="0" percent="0" rank="0" text="" dxfId="3">
      <formula>"Pass"</formula>
    </cfRule>
    <cfRule type="cellIs" priority="3" operator="equal" aboveAverage="0" equalAverage="0" bottom="0" percent="0" rank="0" text="" dxfId="4">
      <formula>"Fail"</formula>
    </cfRule>
    <cfRule type="cellIs" priority="4" operator="equal" aboveAverage="0" equalAverage="0" bottom="0" percent="0" rank="0" text="" dxfId="5">
      <formula>"Expected Fail"</formula>
    </cfRule>
  </conditionalFormatting>
  <conditionalFormatting sqref="L2:L14">
    <cfRule type="expression" priority="5" aboveAverage="0" equalAverage="0" bottom="0" percent="0" rank="0" text="" dxfId="5">
      <formula>ISNUMBER(SEARCH("@known-bug",L2))</formula>
    </cfRule>
  </conditionalFormatting>
  <dataValidations count="3">
    <dataValidation allowBlank="true" errorStyle="stop" operator="between" showDropDown="false" showErrorMessage="false" showInputMessage="false" sqref="M2:M14" type="list">
      <formula1>"Not Run,Pass,Fail,Blocked,Expected Fail"</formula1>
      <formula2>0</formula2>
    </dataValidation>
    <dataValidation allowBlank="true" errorStyle="stop" operator="between" showDropDown="false" showErrorMessage="false" showInputMessage="false" sqref="J2:J14" type="list">
      <formula1>"Automated,Candidate,Manual"</formula1>
      <formula2>0</formula2>
    </dataValidation>
    <dataValidation allowBlank="true" errorStyle="stop" operator="between" showDropDown="false" showErrorMessage="false" showInputMessage="false" sqref="E2:E14" type="list">
      <formula1>"P1,P2,P3"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0"/>
    <col collapsed="false" customWidth="true" hidden="false" outlineLevel="0" max="5" min="5" style="0" width="42"/>
    <col collapsed="false" customWidth="true" hidden="false" outlineLevel="0" max="6" min="6" style="0" width="30"/>
    <col collapsed="false" customWidth="true" hidden="false" outlineLevel="0" max="7" min="7" style="0" width="38"/>
    <col collapsed="false" customWidth="true" hidden="false" outlineLevel="0" max="8" min="8" style="0" width="18"/>
    <col collapsed="false" customWidth="true" hidden="false" outlineLevel="0" max="9" min="9" style="0" width="30"/>
  </cols>
  <sheetData>
    <row r="1" customFormat="false" ht="15" hidden="false" customHeight="false" outlineLevel="0" collapsed="false">
      <c r="A1" s="4" t="s">
        <v>478</v>
      </c>
      <c r="B1" s="4" t="s">
        <v>479</v>
      </c>
      <c r="C1" s="4" t="s">
        <v>480</v>
      </c>
      <c r="D1" s="4" t="s">
        <v>481</v>
      </c>
      <c r="E1" s="4" t="s">
        <v>482</v>
      </c>
      <c r="F1" s="4" t="s">
        <v>483</v>
      </c>
      <c r="G1" s="4" t="s">
        <v>484</v>
      </c>
      <c r="H1" s="4" t="s">
        <v>485</v>
      </c>
      <c r="I1" s="4" t="s">
        <v>486</v>
      </c>
    </row>
    <row r="2" customFormat="false" ht="23.85" hidden="false" customHeight="false" outlineLevel="0" collapsed="false">
      <c r="A2" s="10" t="s">
        <v>487</v>
      </c>
      <c r="B2" s="10" t="s">
        <v>33</v>
      </c>
      <c r="C2" s="10" t="s">
        <v>488</v>
      </c>
      <c r="D2" s="10" t="s">
        <v>489</v>
      </c>
      <c r="E2" s="10" t="s">
        <v>490</v>
      </c>
      <c r="F2" s="10" t="s">
        <v>491</v>
      </c>
      <c r="G2" s="10" t="s">
        <v>492</v>
      </c>
      <c r="H2" s="10" t="s">
        <v>370</v>
      </c>
      <c r="I2" s="10" t="s">
        <v>493</v>
      </c>
    </row>
    <row r="3" customFormat="false" ht="23.85" hidden="false" customHeight="false" outlineLevel="0" collapsed="false">
      <c r="A3" s="10" t="s">
        <v>494</v>
      </c>
      <c r="B3" s="10" t="s">
        <v>33</v>
      </c>
      <c r="C3" s="10" t="s">
        <v>495</v>
      </c>
      <c r="D3" s="10" t="s">
        <v>496</v>
      </c>
      <c r="E3" s="10" t="s">
        <v>497</v>
      </c>
      <c r="F3" s="10" t="s">
        <v>498</v>
      </c>
      <c r="G3" s="10" t="s">
        <v>499</v>
      </c>
      <c r="H3" s="10" t="s">
        <v>375</v>
      </c>
      <c r="I3" s="10" t="s">
        <v>500</v>
      </c>
    </row>
    <row r="4" customFormat="false" ht="15" hidden="false" customHeight="false" outlineLevel="0" collapsed="false">
      <c r="A4" s="10" t="s">
        <v>501</v>
      </c>
      <c r="B4" s="10" t="s">
        <v>33</v>
      </c>
      <c r="C4" s="10" t="s">
        <v>502</v>
      </c>
      <c r="D4" s="10" t="s">
        <v>489</v>
      </c>
      <c r="E4" s="10" t="s">
        <v>503</v>
      </c>
      <c r="F4" s="10" t="s">
        <v>504</v>
      </c>
      <c r="G4" s="10" t="s">
        <v>505</v>
      </c>
      <c r="H4" s="10" t="s">
        <v>380</v>
      </c>
      <c r="I4" s="10" t="s">
        <v>506</v>
      </c>
    </row>
    <row r="5" customFormat="false" ht="15" hidden="false" customHeight="false" outlineLevel="0" collapsed="false">
      <c r="A5" s="10" t="s">
        <v>507</v>
      </c>
      <c r="B5" s="10" t="s">
        <v>33</v>
      </c>
      <c r="C5" s="10" t="s">
        <v>508</v>
      </c>
      <c r="D5" s="10" t="s">
        <v>509</v>
      </c>
      <c r="E5" s="10" t="s">
        <v>510</v>
      </c>
      <c r="F5" s="10" t="s">
        <v>511</v>
      </c>
      <c r="G5" s="10" t="s">
        <v>505</v>
      </c>
      <c r="H5" s="10" t="s">
        <v>349</v>
      </c>
      <c r="I5" s="10" t="s">
        <v>500</v>
      </c>
    </row>
    <row r="6" customFormat="false" ht="23.85" hidden="false" customHeight="false" outlineLevel="0" collapsed="false">
      <c r="A6" s="10" t="s">
        <v>512</v>
      </c>
      <c r="B6" s="10" t="s">
        <v>513</v>
      </c>
      <c r="C6" s="10" t="s">
        <v>514</v>
      </c>
      <c r="D6" s="10" t="s">
        <v>489</v>
      </c>
      <c r="E6" s="10" t="s">
        <v>515</v>
      </c>
      <c r="F6" s="10" t="s">
        <v>516</v>
      </c>
      <c r="G6" s="10" t="s">
        <v>517</v>
      </c>
      <c r="H6" s="10" t="s">
        <v>385</v>
      </c>
      <c r="I6" s="10" t="s">
        <v>493</v>
      </c>
    </row>
    <row r="7" customFormat="false" ht="15" hidden="false" customHeight="false" outlineLevel="0" collapsed="false">
      <c r="A7" s="10" t="s">
        <v>518</v>
      </c>
      <c r="B7" s="10" t="s">
        <v>32</v>
      </c>
      <c r="C7" s="10" t="s">
        <v>519</v>
      </c>
      <c r="D7" s="10" t="s">
        <v>509</v>
      </c>
      <c r="E7" s="10" t="s">
        <v>520</v>
      </c>
      <c r="F7" s="10" t="s">
        <v>521</v>
      </c>
      <c r="G7" s="10" t="s">
        <v>522</v>
      </c>
      <c r="H7" s="10" t="s">
        <v>523</v>
      </c>
      <c r="I7" s="10" t="s">
        <v>524</v>
      </c>
    </row>
    <row r="8" customFormat="false" ht="35.05" hidden="false" customHeight="false" outlineLevel="0" collapsed="false">
      <c r="A8" s="10" t="s">
        <v>525</v>
      </c>
      <c r="B8" s="10" t="s">
        <v>526</v>
      </c>
      <c r="C8" s="10" t="s">
        <v>527</v>
      </c>
      <c r="D8" s="10" t="s">
        <v>528</v>
      </c>
      <c r="E8" s="10" t="s">
        <v>529</v>
      </c>
      <c r="F8" s="10" t="s">
        <v>530</v>
      </c>
      <c r="G8" s="10" t="s">
        <v>531</v>
      </c>
      <c r="H8" s="10" t="s">
        <v>532</v>
      </c>
      <c r="I8" s="10" t="s">
        <v>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2026-10-13T08:18:06Z</dcterms:created>
  <dc:creator>openpyxl</dc:creator>
  <dc:description/>
  <dc:language>en-US</dc:language>
  <cp:lastModifiedBy/>
  <dcterms:modified xsi:type="dcterms:W3CDTF">2026-10-13T08:18:06Z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