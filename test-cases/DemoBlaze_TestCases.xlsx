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Login" sheetId="2" state="visible" r:id="rId2"/>
    <sheet name="Cart" sheetId="3" state="visible" r:id="rId3"/>
    <sheet name="Place Order" sheetId="4" state="visible" r:id="rId4"/>
    <sheet name="API &amp; Performance" sheetId="5" state="visible" r:id="rId5"/>
    <sheet name="Concurrency &amp; Contract" sheetId="6" state="visible" r:id="rId6"/>
    <sheet name="Test Strategy – Payment Gateway" sheetId="7" state="visible" r:id="rId7"/>
    <sheet name="Defects &amp; Observations" sheetId="8" state="visible" r:id="rId8"/>
  </sheets>
  <definedNames>
    <definedName name="_xlnm._FilterDatabase" localSheetId="1" hidden="1">'Login'!$A$1:$N$26</definedName>
    <definedName name="_xlnm._FilterDatabase" localSheetId="2" hidden="1">'Cart'!$A$1:$N$22</definedName>
    <definedName name="_xlnm._FilterDatabase" localSheetId="3" hidden="1">'Place Order'!$A$1:$N$18</definedName>
    <definedName name="_xlnm._FilterDatabase" localSheetId="4" hidden="1">'API &amp; Performance'!$A$1:$N$14</definedName>
    <definedName name="_xlnm._FilterDatabase" localSheetId="5" hidden="1">'Concurrency &amp; Contract'!$A$1:$N$19</definedName>
    <definedName name="_xlnm._FilterDatabase" localSheetId="6" hidden="1">'Test Strategy – Payment Gateway'!$A$1:$M$63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9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9" fontId="5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9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9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9" fontId="5" fillId="3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1" min="1" max="1"/>
    <col width="14" customWidth="1" style="11" min="2" max="2"/>
    <col width="12" customWidth="1" style="11" min="3" max="16"/>
  </cols>
  <sheetData>
    <row r="1" ht="19.7" customHeight="1" s="12">
      <c r="A1" s="13" t="inlineStr">
        <is>
          <t>DemoBlaze — Test Case Suite (Login, Cart, Place Order)</t>
        </is>
      </c>
    </row>
    <row r="3" ht="30" customHeight="1" s="12">
      <c r="A3" s="14" t="inlineStr">
        <is>
          <t>Application</t>
        </is>
      </c>
      <c r="B3" s="15" t="inlineStr">
        <is>
          <t>https://www.demoblaze.com</t>
        </is>
      </c>
    </row>
    <row r="4" ht="30" customHeight="1" s="12">
      <c r="A4" s="14" t="inlineStr">
        <is>
          <t>Scope</t>
        </is>
      </c>
      <c r="B4" s="15" t="inlineStr">
        <is>
          <t>Login (incl. sign-up / logout), Cart, Place Order; supporting API, contract, concurrency &amp; performance checks; payment-gateway test strategy</t>
        </is>
      </c>
    </row>
    <row r="5" ht="30" customHeight="1" s="12">
      <c r="A5" s="14" t="inlineStr">
        <is>
          <t>Automation repo</t>
        </is>
      </c>
      <c r="B5" s="15" t="inlineStr">
        <is>
          <t>Specs referenced in column 'Automated In' (Playwright + TypeScript)</t>
        </is>
      </c>
    </row>
    <row r="6" ht="30" customHeight="1" s="12">
      <c r="A6" s="14" t="inlineStr">
        <is>
          <t>Test IDs</t>
        </is>
      </c>
      <c r="B6" s="15" t="inlineStr">
        <is>
          <t>TC IDs appear in automated test titles, e.g. [TC-ORDER-001], for traceability</t>
        </is>
      </c>
    </row>
    <row r="7" ht="30" customHeight="1" s="12">
      <c r="A7" s="14" t="inlineStr">
        <is>
          <t>Automation legend</t>
        </is>
      </c>
      <c r="B7" s="15" t="inlineStr">
        <is>
          <t>Automated = in the suite · Candidate = good next automation target · Manual = exploratory / not cost-effective to automate</t>
        </is>
      </c>
    </row>
    <row r="8" ht="30" customHeight="1" s="12">
      <c r="A8" s="14" t="inlineStr">
        <is>
          <t>Known-bug tests</t>
        </is>
      </c>
      <c r="B8" s="15" t="inlineStr">
        <is>
          <t>Tagged @known-bug and marked test.fail(): they pass while the defect exists and alert the team when it is fixed</t>
        </is>
      </c>
    </row>
    <row r="9" ht="30" customHeight="1" s="12">
      <c r="A9" s="14" t="inlineStr">
        <is>
          <t>How to use</t>
        </is>
      </c>
      <c r="B9" s="15" t="inlineStr">
        <is>
          <t>Fill 'Status' (dropdown) and 'Actual Result / Notes' during execution; this summary updates automatically</t>
        </is>
      </c>
    </row>
    <row r="10" ht="30" customHeight="1" s="12">
      <c r="A10" s="16" t="inlineStr">
        <is>
          <t>Payment gateway</t>
        </is>
      </c>
      <c r="B10" s="17" t="inlineStr">
        <is>
          <t>The “Test Strategy – Payment Gateway” sheet maps the same techniques to a high-traffic payment system: idempotency, concurrency, Redis, message queue, database, AWS, API integration, security, performance (proposed, not run against DemoBlaze)</t>
        </is>
      </c>
    </row>
    <row r="12" ht="26.85" customHeight="1" s="12">
      <c r="A12" s="18" t="inlineStr">
        <is>
          <t>Module</t>
        </is>
      </c>
      <c r="B12" s="18" t="inlineStr">
        <is>
          <t>Total</t>
        </is>
      </c>
      <c r="C12" s="18" t="inlineStr">
        <is>
          <t>P1</t>
        </is>
      </c>
      <c r="D12" s="18" t="inlineStr">
        <is>
          <t>P2</t>
        </is>
      </c>
      <c r="E12" s="18" t="inlineStr">
        <is>
          <t>P3</t>
        </is>
      </c>
      <c r="F12" s="18" t="inlineStr">
        <is>
          <t>Functional</t>
        </is>
      </c>
      <c r="G12" s="18" t="inlineStr">
        <is>
          <t>Negative</t>
        </is>
      </c>
      <c r="H12" s="18" t="inlineStr">
        <is>
          <t>Edge</t>
        </is>
      </c>
      <c r="I12" s="18" t="inlineStr">
        <is>
          <t>Other types</t>
        </is>
      </c>
      <c r="J12" s="18" t="inlineStr">
        <is>
          <t>Automated</t>
        </is>
      </c>
      <c r="K12" s="18" t="inlineStr">
        <is>
          <t>Candidate</t>
        </is>
      </c>
      <c r="L12" s="18" t="inlineStr">
        <is>
          <t>Manual</t>
        </is>
      </c>
      <c r="M12" s="18" t="inlineStr">
        <is>
          <t>Automation %</t>
        </is>
      </c>
      <c r="N12" s="18" t="inlineStr">
        <is>
          <t>Pass</t>
        </is>
      </c>
      <c r="O12" s="18" t="inlineStr">
        <is>
          <t>Fail</t>
        </is>
      </c>
      <c r="P12" s="18" t="inlineStr">
        <is>
          <t>Not Run</t>
        </is>
      </c>
    </row>
    <row r="13" ht="15" customHeight="1" s="12">
      <c r="A13" s="19" t="inlineStr">
        <is>
          <t>Login</t>
        </is>
      </c>
      <c r="B13" s="19">
        <f>COUNTA(Login!$A$2:$A$26)</f>
        <v/>
      </c>
      <c r="C13" s="19">
        <f>COUNTIF(Login!$E$2:$E$26,"P1")</f>
        <v/>
      </c>
      <c r="D13" s="19">
        <f>COUNTIF(Login!$E$2:$E$26,"P2")</f>
        <v/>
      </c>
      <c r="E13" s="19">
        <f>COUNTIF(Login!$E$2:$E$26,"P3")</f>
        <v/>
      </c>
      <c r="F13" s="19">
        <f>COUNTIF(Login!$D$2:$D$26,"Functional")</f>
        <v/>
      </c>
      <c r="G13" s="19">
        <f>COUNTIF(Login!$D$2:$D$26,"Negative")</f>
        <v/>
      </c>
      <c r="H13" s="19">
        <f>COUNTIF(Login!$D$2:$D$26,"Edge")</f>
        <v/>
      </c>
      <c r="I13" s="19">
        <f>B13-F13-G13-H13</f>
        <v/>
      </c>
      <c r="J13" s="19">
        <f>COUNTIF(Login!$J$2:$J$26,"Automated")</f>
        <v/>
      </c>
      <c r="K13" s="19">
        <f>COUNTIF(Login!$J$2:$J$26,"Candidate")</f>
        <v/>
      </c>
      <c r="L13" s="19">
        <f>COUNTIF(Login!$J$2:$J$26,"Manual")</f>
        <v/>
      </c>
      <c r="M13" s="20">
        <f>IF(B13=0,0,J13/B13)</f>
        <v/>
      </c>
      <c r="N13" s="19">
        <f>COUNTIF(Login!$M$2:$M$26,"Pass")</f>
        <v/>
      </c>
      <c r="O13" s="19">
        <f>COUNTIF(Login!$M$2:$M$26,"Fail")</f>
        <v/>
      </c>
      <c r="P13" s="19">
        <f>COUNTIF(Login!$M$2:$M$26,"Not Run")</f>
        <v/>
      </c>
    </row>
    <row r="14" ht="15" customHeight="1" s="12">
      <c r="A14" s="19" t="inlineStr">
        <is>
          <t>Cart</t>
        </is>
      </c>
      <c r="B14" s="19">
        <f>COUNTA(Cart!$A$2:$A$22)</f>
        <v/>
      </c>
      <c r="C14" s="19">
        <f>COUNTIF(Cart!$E$2:$E$22,"P1")</f>
        <v/>
      </c>
      <c r="D14" s="19">
        <f>COUNTIF(Cart!$E$2:$E$22,"P2")</f>
        <v/>
      </c>
      <c r="E14" s="19">
        <f>COUNTIF(Cart!$E$2:$E$22,"P3")</f>
        <v/>
      </c>
      <c r="F14" s="19">
        <f>COUNTIF(Cart!$D$2:$D$22,"Functional")</f>
        <v/>
      </c>
      <c r="G14" s="19">
        <f>COUNTIF(Cart!$D$2:$D$22,"Negative")</f>
        <v/>
      </c>
      <c r="H14" s="19">
        <f>COUNTIF(Cart!$D$2:$D$22,"Edge")</f>
        <v/>
      </c>
      <c r="I14" s="19">
        <f>B14-F14-G14-H14</f>
        <v/>
      </c>
      <c r="J14" s="19">
        <f>COUNTIF(Cart!$J$2:$J$22,"Automated")</f>
        <v/>
      </c>
      <c r="K14" s="19">
        <f>COUNTIF(Cart!$J$2:$J$22,"Candidate")</f>
        <v/>
      </c>
      <c r="L14" s="19">
        <f>COUNTIF(Cart!$J$2:$J$22,"Manual")</f>
        <v/>
      </c>
      <c r="M14" s="20">
        <f>IF(B14=0,0,J14/B14)</f>
        <v/>
      </c>
      <c r="N14" s="19">
        <f>COUNTIF(Cart!$M$2:$M$22,"Pass")</f>
        <v/>
      </c>
      <c r="O14" s="19">
        <f>COUNTIF(Cart!$M$2:$M$22,"Fail")</f>
        <v/>
      </c>
      <c r="P14" s="19">
        <f>COUNTIF(Cart!$M$2:$M$22,"Not Run")</f>
        <v/>
      </c>
    </row>
    <row r="15" ht="15" customHeight="1" s="12">
      <c r="A15" s="19" t="inlineStr">
        <is>
          <t>Place Order</t>
        </is>
      </c>
      <c r="B15" s="19">
        <f>COUNTA('Place Order'!$A$2:$A$18)</f>
        <v/>
      </c>
      <c r="C15" s="19">
        <f>COUNTIF('Place Order'!$E$2:$E$18,"P1")</f>
        <v/>
      </c>
      <c r="D15" s="19">
        <f>COUNTIF('Place Order'!$E$2:$E$18,"P2")</f>
        <v/>
      </c>
      <c r="E15" s="19">
        <f>COUNTIF('Place Order'!$E$2:$E$18,"P3")</f>
        <v/>
      </c>
      <c r="F15" s="19">
        <f>COUNTIF('Place Order'!$D$2:$D$18,"Functional")</f>
        <v/>
      </c>
      <c r="G15" s="19">
        <f>COUNTIF('Place Order'!$D$2:$D$18,"Negative")</f>
        <v/>
      </c>
      <c r="H15" s="19">
        <f>COUNTIF('Place Order'!$D$2:$D$18,"Edge")</f>
        <v/>
      </c>
      <c r="I15" s="19">
        <f>B15-F15-G15-H15</f>
        <v/>
      </c>
      <c r="J15" s="19">
        <f>COUNTIF('Place Order'!$J$2:$J$18,"Automated")</f>
        <v/>
      </c>
      <c r="K15" s="19">
        <f>COUNTIF('Place Order'!$J$2:$J$18,"Candidate")</f>
        <v/>
      </c>
      <c r="L15" s="19">
        <f>COUNTIF('Place Order'!$J$2:$J$18,"Manual")</f>
        <v/>
      </c>
      <c r="M15" s="20">
        <f>IF(B15=0,0,J15/B15)</f>
        <v/>
      </c>
      <c r="N15" s="19">
        <f>COUNTIF('Place Order'!$M$2:$M$18,"Pass")</f>
        <v/>
      </c>
      <c r="O15" s="19">
        <f>COUNTIF('Place Order'!$M$2:$M$18,"Fail")</f>
        <v/>
      </c>
      <c r="P15" s="19">
        <f>COUNTIF('Place Order'!$M$2:$M$18,"Not Run")</f>
        <v/>
      </c>
    </row>
    <row r="16" ht="15" customHeight="1" s="12">
      <c r="A16" s="19" t="inlineStr">
        <is>
          <t>API &amp; Performance</t>
        </is>
      </c>
      <c r="B16" s="19">
        <f>COUNTA('API &amp; Performance'!$A$2:$A$14)</f>
        <v/>
      </c>
      <c r="C16" s="19">
        <f>COUNTIF('API &amp; Performance'!$E$2:$E$14,"P1")</f>
        <v/>
      </c>
      <c r="D16" s="19">
        <f>COUNTIF('API &amp; Performance'!$E$2:$E$14,"P2")</f>
        <v/>
      </c>
      <c r="E16" s="19">
        <f>COUNTIF('API &amp; Performance'!$E$2:$E$14,"P3")</f>
        <v/>
      </c>
      <c r="F16" s="19">
        <f>COUNTIF('API &amp; Performance'!$D$2:$D$14,"Functional")</f>
        <v/>
      </c>
      <c r="G16" s="19">
        <f>COUNTIF('API &amp; Performance'!$D$2:$D$14,"Negative")</f>
        <v/>
      </c>
      <c r="H16" s="19">
        <f>COUNTIF('API &amp; Performance'!$D$2:$D$14,"Edge")</f>
        <v/>
      </c>
      <c r="I16" s="19">
        <f>B16-F16-G16-H16</f>
        <v/>
      </c>
      <c r="J16" s="19">
        <f>COUNTIF('API &amp; Performance'!$J$2:$J$14,"Automated")</f>
        <v/>
      </c>
      <c r="K16" s="19">
        <f>COUNTIF('API &amp; Performance'!$J$2:$J$14,"Candidate")</f>
        <v/>
      </c>
      <c r="L16" s="19">
        <f>COUNTIF('API &amp; Performance'!$J$2:$J$14,"Manual")</f>
        <v/>
      </c>
      <c r="M16" s="20">
        <f>IF(B16=0,0,J16/B16)</f>
        <v/>
      </c>
      <c r="N16" s="19">
        <f>COUNTIF('API &amp; Performance'!$M$2:$M$14,"Pass")</f>
        <v/>
      </c>
      <c r="O16" s="19">
        <f>COUNTIF('API &amp; Performance'!$M$2:$M$14,"Fail")</f>
        <v/>
      </c>
      <c r="P16" s="19">
        <f>COUNTIF('API &amp; Performance'!$M$2:$M$14,"Not Run")</f>
        <v/>
      </c>
    </row>
    <row r="17" ht="15" customHeight="1" s="12">
      <c r="A17" s="21" t="inlineStr">
        <is>
          <t>Concurrency &amp; Contract</t>
        </is>
      </c>
      <c r="B17" s="21">
        <f>COUNTA('Concurrency &amp; Contract'!$A$2:$A$19)</f>
        <v/>
      </c>
      <c r="C17" s="21">
        <f>COUNTIF('Concurrency &amp; Contract'!$E$2:$E$19,"P1")</f>
        <v/>
      </c>
      <c r="D17" s="21">
        <f>COUNTIF('Concurrency &amp; Contract'!$E$2:$E$19,"P2")</f>
        <v/>
      </c>
      <c r="E17" s="21">
        <f>COUNTIF('Concurrency &amp; Contract'!$E$2:$E$19,"P3")</f>
        <v/>
      </c>
      <c r="F17" s="21">
        <f>COUNTIF('Concurrency &amp; Contract'!$D$2:$D$19,"Functional")</f>
        <v/>
      </c>
      <c r="G17" s="21">
        <f>COUNTIF('Concurrency &amp; Contract'!$D$2:$D$19,"Negative")</f>
        <v/>
      </c>
      <c r="H17" s="21">
        <f>COUNTIF('Concurrency &amp; Contract'!$D$2:$D$19,"Edge")</f>
        <v/>
      </c>
      <c r="I17" s="21">
        <f>B17-F17-G17-H17</f>
        <v/>
      </c>
      <c r="J17" s="21">
        <f>COUNTIF('Concurrency &amp; Contract'!$J$2:$J$19,"Automated")</f>
        <v/>
      </c>
      <c r="K17" s="21">
        <f>COUNTIF('Concurrency &amp; Contract'!$J$2:$J$19,"Candidate")</f>
        <v/>
      </c>
      <c r="L17" s="21">
        <f>COUNTIF('Concurrency &amp; Contract'!$J$2:$J$19,"Manual")</f>
        <v/>
      </c>
      <c r="M17" s="22">
        <f>IF(B17=0,0,J17/B17)</f>
        <v/>
      </c>
      <c r="N17" s="21">
        <f>COUNTIF('Concurrency &amp; Contract'!$M$2:$M$19,"Pass")</f>
        <v/>
      </c>
      <c r="O17" s="21">
        <f>COUNTIF('Concurrency &amp; Contract'!$M$2:$M$19,"Fail")</f>
        <v/>
      </c>
      <c r="P17" s="21">
        <f>COUNTIF('Concurrency &amp; Contract'!$M$2:$M$19,"Not Run")</f>
        <v/>
      </c>
    </row>
    <row r="18" ht="15" customHeight="1" s="12">
      <c r="A18" s="23" t="inlineStr">
        <is>
          <t>TOTAL</t>
        </is>
      </c>
      <c r="B18" s="23">
        <f>SUM(B13:B17)</f>
        <v/>
      </c>
      <c r="C18" s="23">
        <f>SUM(C13:C17)</f>
        <v/>
      </c>
      <c r="D18" s="23">
        <f>SUM(D13:D17)</f>
        <v/>
      </c>
      <c r="E18" s="23">
        <f>SUM(E13:E17)</f>
        <v/>
      </c>
      <c r="F18" s="23">
        <f>SUM(F13:F17)</f>
        <v/>
      </c>
      <c r="G18" s="23">
        <f>SUM(G13:G17)</f>
        <v/>
      </c>
      <c r="H18" s="23">
        <f>SUM(H13:H17)</f>
        <v/>
      </c>
      <c r="I18" s="23">
        <f>SUM(I13:I17)</f>
        <v/>
      </c>
      <c r="J18" s="23">
        <f>SUM(J13:J17)</f>
        <v/>
      </c>
      <c r="K18" s="23">
        <f>SUM(K13:K17)</f>
        <v/>
      </c>
      <c r="L18" s="23">
        <f>SUM(L13:L17)</f>
        <v/>
      </c>
      <c r="M18" s="24">
        <f>IF(B18=0,0,J18/B18)</f>
        <v/>
      </c>
      <c r="N18" s="23">
        <f>SUM(N13:N17)</f>
        <v/>
      </c>
      <c r="O18" s="23">
        <f>SUM(O13:O17)</f>
        <v/>
      </c>
      <c r="P18" s="23">
        <f>SUM(P13:P17)</f>
        <v/>
      </c>
    </row>
    <row r="21">
      <c r="A21" s="25" t="inlineStr">
        <is>
          <t>Payment gateway strategy</t>
        </is>
      </c>
      <c r="B21" s="25" t="inlineStr">
        <is>
          <t>Cases</t>
        </is>
      </c>
      <c r="C21" s="25" t="inlineStr">
        <is>
          <t>P1</t>
        </is>
      </c>
      <c r="D21" s="25" t="inlineStr">
        <is>
          <t>P2</t>
        </is>
      </c>
      <c r="E21" s="25" t="inlineStr">
        <is>
          <t>P3</t>
        </is>
      </c>
      <c r="F21" s="25" t="inlineStr">
        <is>
          <t>With DemoBlaze analogue</t>
        </is>
      </c>
    </row>
    <row r="22">
      <c r="A22" s="21" t="inlineStr">
        <is>
          <t>Payment &amp; idempotency</t>
        </is>
      </c>
      <c r="B22" s="21">
        <f>COUNTIF('Test Strategy – Payment Gateway'!$B$2:$B$63,$A22)</f>
        <v/>
      </c>
      <c r="C22" s="21">
        <f>COUNTIFS('Test Strategy – Payment Gateway'!$B$2:$B$63,$A22,'Test Strategy – Payment Gateway'!$F$2:$F$63,"P1")</f>
        <v/>
      </c>
      <c r="D22" s="21">
        <f>COUNTIFS('Test Strategy – Payment Gateway'!$B$2:$B$63,$A22,'Test Strategy – Payment Gateway'!$F$2:$F$63,"P2")</f>
        <v/>
      </c>
      <c r="E22" s="21">
        <f>COUNTIFS('Test Strategy – Payment Gateway'!$B$2:$B$63,$A22,'Test Strategy – Payment Gateway'!$F$2:$F$63,"P3")</f>
        <v/>
      </c>
      <c r="F22" s="21">
        <f>COUNTIFS('Test Strategy – Payment Gateway'!$B$2:$B$63,$A22,'Test Strategy – Payment Gateway'!$L$2:$L$63,"&lt;&gt;—")</f>
        <v/>
      </c>
    </row>
    <row r="23">
      <c r="A23" s="21" t="inlineStr">
        <is>
          <t>Concurrency</t>
        </is>
      </c>
      <c r="B23" s="21">
        <f>COUNTIF('Test Strategy – Payment Gateway'!$B$2:$B$63,$A23)</f>
        <v/>
      </c>
      <c r="C23" s="21">
        <f>COUNTIFS('Test Strategy – Payment Gateway'!$B$2:$B$63,$A23,'Test Strategy – Payment Gateway'!$F$2:$F$63,"P1")</f>
        <v/>
      </c>
      <c r="D23" s="21">
        <f>COUNTIFS('Test Strategy – Payment Gateway'!$B$2:$B$63,$A23,'Test Strategy – Payment Gateway'!$F$2:$F$63,"P2")</f>
        <v/>
      </c>
      <c r="E23" s="21">
        <f>COUNTIFS('Test Strategy – Payment Gateway'!$B$2:$B$63,$A23,'Test Strategy – Payment Gateway'!$F$2:$F$63,"P3")</f>
        <v/>
      </c>
      <c r="F23" s="21">
        <f>COUNTIFS('Test Strategy – Payment Gateway'!$B$2:$B$63,$A23,'Test Strategy – Payment Gateway'!$L$2:$L$63,"&lt;&gt;—")</f>
        <v/>
      </c>
    </row>
    <row r="24">
      <c r="A24" s="21" t="inlineStr">
        <is>
          <t>Redis</t>
        </is>
      </c>
      <c r="B24" s="21">
        <f>COUNTIF('Test Strategy – Payment Gateway'!$B$2:$B$63,$A24)</f>
        <v/>
      </c>
      <c r="C24" s="21">
        <f>COUNTIFS('Test Strategy – Payment Gateway'!$B$2:$B$63,$A24,'Test Strategy – Payment Gateway'!$F$2:$F$63,"P1")</f>
        <v/>
      </c>
      <c r="D24" s="21">
        <f>COUNTIFS('Test Strategy – Payment Gateway'!$B$2:$B$63,$A24,'Test Strategy – Payment Gateway'!$F$2:$F$63,"P2")</f>
        <v/>
      </c>
      <c r="E24" s="21">
        <f>COUNTIFS('Test Strategy – Payment Gateway'!$B$2:$B$63,$A24,'Test Strategy – Payment Gateway'!$F$2:$F$63,"P3")</f>
        <v/>
      </c>
      <c r="F24" s="21">
        <f>COUNTIFS('Test Strategy – Payment Gateway'!$B$2:$B$63,$A24,'Test Strategy – Payment Gateway'!$L$2:$L$63,"&lt;&gt;—")</f>
        <v/>
      </c>
    </row>
    <row r="25">
      <c r="A25" s="21" t="inlineStr">
        <is>
          <t>Message queue</t>
        </is>
      </c>
      <c r="B25" s="21">
        <f>COUNTIF('Test Strategy – Payment Gateway'!$B$2:$B$63,$A25)</f>
        <v/>
      </c>
      <c r="C25" s="21">
        <f>COUNTIFS('Test Strategy – Payment Gateway'!$B$2:$B$63,$A25,'Test Strategy – Payment Gateway'!$F$2:$F$63,"P1")</f>
        <v/>
      </c>
      <c r="D25" s="21">
        <f>COUNTIFS('Test Strategy – Payment Gateway'!$B$2:$B$63,$A25,'Test Strategy – Payment Gateway'!$F$2:$F$63,"P2")</f>
        <v/>
      </c>
      <c r="E25" s="21">
        <f>COUNTIFS('Test Strategy – Payment Gateway'!$B$2:$B$63,$A25,'Test Strategy – Payment Gateway'!$F$2:$F$63,"P3")</f>
        <v/>
      </c>
      <c r="F25" s="21">
        <f>COUNTIFS('Test Strategy – Payment Gateway'!$B$2:$B$63,$A25,'Test Strategy – Payment Gateway'!$L$2:$L$63,"&lt;&gt;—")</f>
        <v/>
      </c>
    </row>
    <row r="26">
      <c r="A26" s="21" t="inlineStr">
        <is>
          <t>Database</t>
        </is>
      </c>
      <c r="B26" s="21">
        <f>COUNTIF('Test Strategy – Payment Gateway'!$B$2:$B$63,$A26)</f>
        <v/>
      </c>
      <c r="C26" s="21">
        <f>COUNTIFS('Test Strategy – Payment Gateway'!$B$2:$B$63,$A26,'Test Strategy – Payment Gateway'!$F$2:$F$63,"P1")</f>
        <v/>
      </c>
      <c r="D26" s="21">
        <f>COUNTIFS('Test Strategy – Payment Gateway'!$B$2:$B$63,$A26,'Test Strategy – Payment Gateway'!$F$2:$F$63,"P2")</f>
        <v/>
      </c>
      <c r="E26" s="21">
        <f>COUNTIFS('Test Strategy – Payment Gateway'!$B$2:$B$63,$A26,'Test Strategy – Payment Gateway'!$F$2:$F$63,"P3")</f>
        <v/>
      </c>
      <c r="F26" s="21">
        <f>COUNTIFS('Test Strategy – Payment Gateway'!$B$2:$B$63,$A26,'Test Strategy – Payment Gateway'!$L$2:$L$63,"&lt;&gt;—")</f>
        <v/>
      </c>
    </row>
    <row r="27">
      <c r="A27" s="21" t="inlineStr">
        <is>
          <t>AWS</t>
        </is>
      </c>
      <c r="B27" s="21">
        <f>COUNTIF('Test Strategy – Payment Gateway'!$B$2:$B$63,$A27)</f>
        <v/>
      </c>
      <c r="C27" s="21">
        <f>COUNTIFS('Test Strategy – Payment Gateway'!$B$2:$B$63,$A27,'Test Strategy – Payment Gateway'!$F$2:$F$63,"P1")</f>
        <v/>
      </c>
      <c r="D27" s="21">
        <f>COUNTIFS('Test Strategy – Payment Gateway'!$B$2:$B$63,$A27,'Test Strategy – Payment Gateway'!$F$2:$F$63,"P2")</f>
        <v/>
      </c>
      <c r="E27" s="21">
        <f>COUNTIFS('Test Strategy – Payment Gateway'!$B$2:$B$63,$A27,'Test Strategy – Payment Gateway'!$F$2:$F$63,"P3")</f>
        <v/>
      </c>
      <c r="F27" s="21">
        <f>COUNTIFS('Test Strategy – Payment Gateway'!$B$2:$B$63,$A27,'Test Strategy – Payment Gateway'!$L$2:$L$63,"&lt;&gt;—")</f>
        <v/>
      </c>
    </row>
    <row r="28">
      <c r="A28" s="21" t="inlineStr">
        <is>
          <t>API integration</t>
        </is>
      </c>
      <c r="B28" s="21">
        <f>COUNTIF('Test Strategy – Payment Gateway'!$B$2:$B$63,$A28)</f>
        <v/>
      </c>
      <c r="C28" s="21">
        <f>COUNTIFS('Test Strategy – Payment Gateway'!$B$2:$B$63,$A28,'Test Strategy – Payment Gateway'!$F$2:$F$63,"P1")</f>
        <v/>
      </c>
      <c r="D28" s="21">
        <f>COUNTIFS('Test Strategy – Payment Gateway'!$B$2:$B$63,$A28,'Test Strategy – Payment Gateway'!$F$2:$F$63,"P2")</f>
        <v/>
      </c>
      <c r="E28" s="21">
        <f>COUNTIFS('Test Strategy – Payment Gateway'!$B$2:$B$63,$A28,'Test Strategy – Payment Gateway'!$F$2:$F$63,"P3")</f>
        <v/>
      </c>
      <c r="F28" s="21">
        <f>COUNTIFS('Test Strategy – Payment Gateway'!$B$2:$B$63,$A28,'Test Strategy – Payment Gateway'!$L$2:$L$63,"&lt;&gt;—")</f>
        <v/>
      </c>
    </row>
    <row r="29">
      <c r="A29" s="21" t="inlineStr">
        <is>
          <t>Security</t>
        </is>
      </c>
      <c r="B29" s="21">
        <f>COUNTIF('Test Strategy – Payment Gateway'!$B$2:$B$63,$A29)</f>
        <v/>
      </c>
      <c r="C29" s="21">
        <f>COUNTIFS('Test Strategy – Payment Gateway'!$B$2:$B$63,$A29,'Test Strategy – Payment Gateway'!$F$2:$F$63,"P1")</f>
        <v/>
      </c>
      <c r="D29" s="21">
        <f>COUNTIFS('Test Strategy – Payment Gateway'!$B$2:$B$63,$A29,'Test Strategy – Payment Gateway'!$F$2:$F$63,"P2")</f>
        <v/>
      </c>
      <c r="E29" s="21">
        <f>COUNTIFS('Test Strategy – Payment Gateway'!$B$2:$B$63,$A29,'Test Strategy – Payment Gateway'!$F$2:$F$63,"P3")</f>
        <v/>
      </c>
      <c r="F29" s="21">
        <f>COUNTIFS('Test Strategy – Payment Gateway'!$B$2:$B$63,$A29,'Test Strategy – Payment Gateway'!$L$2:$L$63,"&lt;&gt;—")</f>
        <v/>
      </c>
    </row>
    <row r="30">
      <c r="A30" s="21" t="inlineStr">
        <is>
          <t>Performance</t>
        </is>
      </c>
      <c r="B30" s="21">
        <f>COUNTIF('Test Strategy – Payment Gateway'!$B$2:$B$63,$A30)</f>
        <v/>
      </c>
      <c r="C30" s="21">
        <f>COUNTIFS('Test Strategy – Payment Gateway'!$B$2:$B$63,$A30,'Test Strategy – Payment Gateway'!$F$2:$F$63,"P1")</f>
        <v/>
      </c>
      <c r="D30" s="21">
        <f>COUNTIFS('Test Strategy – Payment Gateway'!$B$2:$B$63,$A30,'Test Strategy – Payment Gateway'!$F$2:$F$63,"P2")</f>
        <v/>
      </c>
      <c r="E30" s="21">
        <f>COUNTIFS('Test Strategy – Payment Gateway'!$B$2:$B$63,$A30,'Test Strategy – Payment Gateway'!$F$2:$F$63,"P3")</f>
        <v/>
      </c>
      <c r="F30" s="21">
        <f>COUNTIFS('Test Strategy – Payment Gateway'!$B$2:$B$63,$A30,'Test Strategy – Payment Gateway'!$L$2:$L$63,"&lt;&gt;—")</f>
        <v/>
      </c>
    </row>
    <row r="31">
      <c r="A31" s="23" t="inlineStr">
        <is>
          <t>TOTAL</t>
        </is>
      </c>
      <c r="B31" s="23">
        <f>SUM(B22:B30)</f>
        <v/>
      </c>
      <c r="C31" s="23">
        <f>SUM(C22:C30)</f>
        <v/>
      </c>
      <c r="D31" s="23">
        <f>SUM(D22:D30)</f>
        <v/>
      </c>
      <c r="E31" s="23">
        <f>SUM(E22:E30)</f>
        <v/>
      </c>
      <c r="F31" s="23">
        <f>SUM(F22:F30)</f>
        <v/>
      </c>
    </row>
  </sheetData>
  <mergeCells count="8">
    <mergeCell ref="B4:L4"/>
    <mergeCell ref="B6:L6"/>
    <mergeCell ref="B7:L7"/>
    <mergeCell ref="B3:L3"/>
    <mergeCell ref="B5:L5"/>
    <mergeCell ref="B10:L10"/>
    <mergeCell ref="B9:L9"/>
    <mergeCell ref="B8:L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11" min="1" max="1"/>
    <col width="18" customWidth="1" style="11" min="2" max="2"/>
    <col width="40" customWidth="1" style="11" min="3" max="3"/>
    <col width="13" customWidth="1" style="11" min="4" max="4"/>
    <col width="9" customWidth="1" style="11" min="5" max="5"/>
    <col width="28" customWidth="1" style="11" min="6" max="7"/>
    <col width="52" customWidth="1" style="11" min="8" max="8"/>
    <col width="48" customWidth="1" style="11" min="9" max="9"/>
    <col width="13" customWidth="1" style="11" min="10" max="10"/>
    <col width="30" customWidth="1" style="11" min="11" max="11"/>
    <col width="18" customWidth="1" style="11" min="12" max="12"/>
    <col width="11" customWidth="1" style="11" min="13" max="13"/>
    <col width="34" customWidth="1" style="11" min="14" max="14"/>
  </cols>
  <sheetData>
    <row r="1" ht="26.85" customHeight="1" s="12">
      <c r="A1" s="18" t="inlineStr">
        <is>
          <t>TC ID</t>
        </is>
      </c>
      <c r="B1" s="18" t="inlineStr">
        <is>
          <t>Scenario</t>
        </is>
      </c>
      <c r="C1" s="18" t="inlineStr">
        <is>
          <t>Title</t>
        </is>
      </c>
      <c r="D1" s="18" t="inlineStr">
        <is>
          <t>Type</t>
        </is>
      </c>
      <c r="E1" s="18" t="inlineStr">
        <is>
          <t>Priority</t>
        </is>
      </c>
      <c r="F1" s="18" t="inlineStr">
        <is>
          <t>Preconditions</t>
        </is>
      </c>
      <c r="G1" s="18" t="inlineStr">
        <is>
          <t>Test Data</t>
        </is>
      </c>
      <c r="H1" s="18" t="inlineStr">
        <is>
          <t>Steps</t>
        </is>
      </c>
      <c r="I1" s="18" t="inlineStr">
        <is>
          <t>Expected Result</t>
        </is>
      </c>
      <c r="J1" s="18" t="inlineStr">
        <is>
          <t>Automation</t>
        </is>
      </c>
      <c r="K1" s="18" t="inlineStr">
        <is>
          <t>Automated In</t>
        </is>
      </c>
      <c r="L1" s="18" t="inlineStr">
        <is>
          <t>Tags</t>
        </is>
      </c>
      <c r="M1" s="18" t="inlineStr">
        <is>
          <t>Status</t>
        </is>
      </c>
      <c r="N1" s="18" t="inlineStr">
        <is>
          <t>Actual Result / Notes</t>
        </is>
      </c>
    </row>
    <row r="2" ht="46.25" customHeight="1" s="12">
      <c r="A2" s="26" t="inlineStr">
        <is>
          <t>TC-LOGIN-001</t>
        </is>
      </c>
      <c r="B2" s="27" t="inlineStr">
        <is>
          <t>Valid login</t>
        </is>
      </c>
      <c r="C2" s="27" t="inlineStr">
        <is>
          <t>Log in with valid credentials</t>
        </is>
      </c>
      <c r="D2" s="27" t="inlineStr">
        <is>
          <t>Functional</t>
        </is>
      </c>
      <c r="E2" s="27" t="inlineStr">
        <is>
          <t>P1</t>
        </is>
      </c>
      <c r="F2" s="27" t="inlineStr">
        <is>
          <t>A registered user exists (auto-provisioned via API by the framework)</t>
        </is>
      </c>
      <c r="G2" s="27" t="inlineStr">
        <is>
          <t>username / password of the registered user</t>
        </is>
      </c>
      <c r="H2" s="27" t="inlineStr">
        <is>
          <t>1. Open https://www.demoblaze.com
2. Click 'Log in' in the navbar
3. Enter valid username and password
4. Click 'Log in'</t>
        </is>
      </c>
      <c r="I2" s="27" t="inlineStr">
        <is>
          <t>Modal closes, page reloads; navbar shows 'Welcome &lt;username&gt;' and 'Log out'; 'Log in' and 'Sign up' are hidden.</t>
        </is>
      </c>
      <c r="J2" s="27" t="inlineStr">
        <is>
          <t>Automated</t>
        </is>
      </c>
      <c r="K2" s="27" t="inlineStr">
        <is>
          <t>tests/ui/login.spec.ts</t>
        </is>
      </c>
      <c r="L2" s="27" t="inlineStr">
        <is>
          <t>@smoke @regression</t>
        </is>
      </c>
      <c r="M2" s="27" t="inlineStr">
        <is>
          <t>Not Run</t>
        </is>
      </c>
      <c r="N2" s="27" t="n"/>
    </row>
    <row r="3" ht="35.05" customHeight="1" s="12">
      <c r="A3" s="26" t="inlineStr">
        <is>
          <t>TC-LOGIN-002</t>
        </is>
      </c>
      <c r="B3" s="27" t="inlineStr">
        <is>
          <t>Invalid login</t>
        </is>
      </c>
      <c r="C3" s="27" t="inlineStr">
        <is>
          <t>Wrong password is rejected</t>
        </is>
      </c>
      <c r="D3" s="27" t="inlineStr">
        <is>
          <t>Negative</t>
        </is>
      </c>
      <c r="E3" s="27" t="inlineStr">
        <is>
          <t>P1</t>
        </is>
      </c>
      <c r="F3" s="27" t="inlineStr">
        <is>
          <t>A registered user exists (auto-provisioned via API by the framework)</t>
        </is>
      </c>
      <c r="G3" s="27" t="inlineStr">
        <is>
          <t>valid username, wrong password</t>
        </is>
      </c>
      <c r="H3" s="27" t="inlineStr">
        <is>
          <t>1. Open Log in modal
2. Enter valid username and an incorrect password
3. Click 'Log in'</t>
        </is>
      </c>
      <c r="I3" s="27" t="inlineStr">
        <is>
          <t>Alert 'Wrong password.' is shown; user stays logged out.</t>
        </is>
      </c>
      <c r="J3" s="27" t="inlineStr">
        <is>
          <t>Automated</t>
        </is>
      </c>
      <c r="K3" s="27" t="inlineStr">
        <is>
          <t>tests/ui/login.spec.ts</t>
        </is>
      </c>
      <c r="L3" s="27" t="inlineStr">
        <is>
          <t>@regression</t>
        </is>
      </c>
      <c r="M3" s="27" t="inlineStr">
        <is>
          <t>Not Run</t>
        </is>
      </c>
      <c r="N3" s="27" t="n"/>
    </row>
    <row r="4" ht="35.05" customHeight="1" s="12">
      <c r="A4" s="26" t="inlineStr">
        <is>
          <t>TC-LOGIN-003</t>
        </is>
      </c>
      <c r="B4" s="27" t="inlineStr">
        <is>
          <t>Invalid login</t>
        </is>
      </c>
      <c r="C4" s="27" t="inlineStr">
        <is>
          <t>Unregistered username is rejected</t>
        </is>
      </c>
      <c r="D4" s="27" t="inlineStr">
        <is>
          <t>Negative</t>
        </is>
      </c>
      <c r="E4" s="27" t="inlineStr">
        <is>
          <t>P1</t>
        </is>
      </c>
      <c r="F4" s="27" t="inlineStr">
        <is>
          <t>—</t>
        </is>
      </c>
      <c r="G4" s="27" t="inlineStr">
        <is>
          <t>random never-registered username</t>
        </is>
      </c>
      <c r="H4" s="27" t="inlineStr">
        <is>
          <t>1. Open Log in modal
2. Enter an unregistered username and any password
3. Click 'Log in'</t>
        </is>
      </c>
      <c r="I4" s="27" t="inlineStr">
        <is>
          <t>Alert 'User does not exist.' is shown; user stays logged out.</t>
        </is>
      </c>
      <c r="J4" s="27" t="inlineStr">
        <is>
          <t>Automated</t>
        </is>
      </c>
      <c r="K4" s="27" t="inlineStr">
        <is>
          <t>tests/ui/login.spec.ts</t>
        </is>
      </c>
      <c r="L4" s="27" t="inlineStr">
        <is>
          <t>@regression</t>
        </is>
      </c>
      <c r="M4" s="27" t="inlineStr">
        <is>
          <t>Not Run</t>
        </is>
      </c>
      <c r="N4" s="27" t="n"/>
    </row>
    <row r="5" ht="35.05" customHeight="1" s="12">
      <c r="A5" s="26" t="inlineStr">
        <is>
          <t>TC-LOGIN-004</t>
        </is>
      </c>
      <c r="B5" s="27" t="inlineStr">
        <is>
          <t>Field validation</t>
        </is>
      </c>
      <c r="C5" s="27" t="inlineStr">
        <is>
          <t>Both fields empty</t>
        </is>
      </c>
      <c r="D5" s="27" t="inlineStr">
        <is>
          <t>Negative</t>
        </is>
      </c>
      <c r="E5" s="27" t="inlineStr">
        <is>
          <t>P2</t>
        </is>
      </c>
      <c r="F5" s="27" t="inlineStr">
        <is>
          <t>—</t>
        </is>
      </c>
      <c r="G5" s="27" t="inlineStr">
        <is>
          <t>username='' password=''</t>
        </is>
      </c>
      <c r="H5" s="27" t="inlineStr">
        <is>
          <t>1. Open Log in modal
2. Leave both fields empty
3. Click 'Log in'</t>
        </is>
      </c>
      <c r="I5" s="27" t="inlineStr">
        <is>
          <t>Alert 'Please fill out Username and Password.'; no login request succeeds.</t>
        </is>
      </c>
      <c r="J5" s="27" t="inlineStr">
        <is>
          <t>Automated</t>
        </is>
      </c>
      <c r="K5" s="27" t="inlineStr">
        <is>
          <t>tests/ui/login.spec.ts</t>
        </is>
      </c>
      <c r="L5" s="27" t="inlineStr">
        <is>
          <t>@regression</t>
        </is>
      </c>
      <c r="M5" s="27" t="inlineStr">
        <is>
          <t>Not Run</t>
        </is>
      </c>
      <c r="N5" s="27" t="n"/>
    </row>
    <row r="6" ht="35.05" customHeight="1" s="12">
      <c r="A6" s="26" t="inlineStr">
        <is>
          <t>TC-LOGIN-005</t>
        </is>
      </c>
      <c r="B6" s="27" t="inlineStr">
        <is>
          <t>Field validation</t>
        </is>
      </c>
      <c r="C6" s="27" t="inlineStr">
        <is>
          <t>Username empty</t>
        </is>
      </c>
      <c r="D6" s="27" t="inlineStr">
        <is>
          <t>Negative</t>
        </is>
      </c>
      <c r="E6" s="27" t="inlineStr">
        <is>
          <t>P2</t>
        </is>
      </c>
      <c r="F6" s="27" t="inlineStr">
        <is>
          <t>—</t>
        </is>
      </c>
      <c r="G6" s="27" t="inlineStr">
        <is>
          <t>username='' password='anyPassword1'</t>
        </is>
      </c>
      <c r="H6" s="27" t="inlineStr">
        <is>
          <t>1. Open Log in modal
2. Fill only the password
3. Click 'Log in'</t>
        </is>
      </c>
      <c r="I6" s="27" t="inlineStr">
        <is>
          <t>Alert 'Please fill out Username and Password.'</t>
        </is>
      </c>
      <c r="J6" s="27" t="inlineStr">
        <is>
          <t>Automated</t>
        </is>
      </c>
      <c r="K6" s="27" t="inlineStr">
        <is>
          <t>tests/ui/login.spec.ts</t>
        </is>
      </c>
      <c r="L6" s="27" t="inlineStr">
        <is>
          <t>@regression</t>
        </is>
      </c>
      <c r="M6" s="27" t="inlineStr">
        <is>
          <t>Not Run</t>
        </is>
      </c>
      <c r="N6" s="27" t="n"/>
    </row>
    <row r="7" ht="35.05" customHeight="1" s="12">
      <c r="A7" s="26" t="inlineStr">
        <is>
          <t>TC-LOGIN-006</t>
        </is>
      </c>
      <c r="B7" s="27" t="inlineStr">
        <is>
          <t>Field validation</t>
        </is>
      </c>
      <c r="C7" s="27" t="inlineStr">
        <is>
          <t>Password empty</t>
        </is>
      </c>
      <c r="D7" s="27" t="inlineStr">
        <is>
          <t>Negative</t>
        </is>
      </c>
      <c r="E7" s="27" t="inlineStr">
        <is>
          <t>P2</t>
        </is>
      </c>
      <c r="F7" s="27" t="inlineStr">
        <is>
          <t>—</t>
        </is>
      </c>
      <c r="G7" s="27" t="inlineStr">
        <is>
          <t>username='anyUser' password=''</t>
        </is>
      </c>
      <c r="H7" s="27" t="inlineStr">
        <is>
          <t>1. Open Log in modal
2. Fill only the username
3. Click 'Log in'</t>
        </is>
      </c>
      <c r="I7" s="27" t="inlineStr">
        <is>
          <t>Alert 'Please fill out Username and Password.'</t>
        </is>
      </c>
      <c r="J7" s="27" t="inlineStr">
        <is>
          <t>Automated</t>
        </is>
      </c>
      <c r="K7" s="27" t="inlineStr">
        <is>
          <t>tests/ui/login.spec.ts</t>
        </is>
      </c>
      <c r="L7" s="27" t="inlineStr">
        <is>
          <t>@regression</t>
        </is>
      </c>
      <c r="M7" s="27" t="inlineStr">
        <is>
          <t>Not Run</t>
        </is>
      </c>
      <c r="N7" s="27" t="n"/>
    </row>
    <row r="8" ht="23.85" customHeight="1" s="12">
      <c r="A8" s="26" t="inlineStr">
        <is>
          <t>TC-LOGIN-007</t>
        </is>
      </c>
      <c r="B8" s="27" t="inlineStr">
        <is>
          <t>UI / Security</t>
        </is>
      </c>
      <c r="C8" s="27" t="inlineStr">
        <is>
          <t>Password input is masked</t>
        </is>
      </c>
      <c r="D8" s="27" t="inlineStr">
        <is>
          <t>UI</t>
        </is>
      </c>
      <c r="E8" s="27" t="inlineStr">
        <is>
          <t>P2</t>
        </is>
      </c>
      <c r="F8" s="27" t="inlineStr">
        <is>
          <t>—</t>
        </is>
      </c>
      <c r="G8" s="27" t="inlineStr">
        <is>
          <t>—</t>
        </is>
      </c>
      <c r="H8" s="27" t="inlineStr">
        <is>
          <t>1. Open Log in modal
2. Type into the Password field</t>
        </is>
      </c>
      <c r="I8" s="27" t="inlineStr">
        <is>
          <t>Password field is type='password'; characters are masked.</t>
        </is>
      </c>
      <c r="J8" s="27" t="inlineStr">
        <is>
          <t>Automated</t>
        </is>
      </c>
      <c r="K8" s="27" t="inlineStr">
        <is>
          <t>tests/ui/login.spec.ts</t>
        </is>
      </c>
      <c r="L8" s="27" t="inlineStr">
        <is>
          <t>@regression</t>
        </is>
      </c>
      <c r="M8" s="27" t="inlineStr">
        <is>
          <t>Not Run</t>
        </is>
      </c>
      <c r="N8" s="27" t="n"/>
    </row>
    <row r="9" ht="35.05" customHeight="1" s="12">
      <c r="A9" s="26" t="inlineStr">
        <is>
          <t>TC-LOGIN-008</t>
        </is>
      </c>
      <c r="B9" s="27" t="inlineStr">
        <is>
          <t>Session</t>
        </is>
      </c>
      <c r="C9" s="27" t="inlineStr">
        <is>
          <t>Session survives a page reload</t>
        </is>
      </c>
      <c r="D9" s="27" t="inlineStr">
        <is>
          <t>Functional</t>
        </is>
      </c>
      <c r="E9" s="27" t="inlineStr">
        <is>
          <t>P2</t>
        </is>
      </c>
      <c r="F9" s="27" t="inlineStr">
        <is>
          <t>A registered user exists (auto-provisioned via API by the framework)</t>
        </is>
      </c>
      <c r="G9" s="27" t="inlineStr">
        <is>
          <t>—</t>
        </is>
      </c>
      <c r="H9" s="27" t="inlineStr">
        <is>
          <t>1. Log in with valid credentials
2. Reload the page (F5)</t>
        </is>
      </c>
      <c r="I9" s="27" t="inlineStr">
        <is>
          <t>User remains logged in ('Welcome &lt;username&gt;' still shown).</t>
        </is>
      </c>
      <c r="J9" s="27" t="inlineStr">
        <is>
          <t>Automated</t>
        </is>
      </c>
      <c r="K9" s="27" t="inlineStr">
        <is>
          <t>tests/ui/login.spec.ts</t>
        </is>
      </c>
      <c r="L9" s="27" t="inlineStr">
        <is>
          <t>@regression</t>
        </is>
      </c>
      <c r="M9" s="27" t="inlineStr">
        <is>
          <t>Not Run</t>
        </is>
      </c>
      <c r="N9" s="27" t="n"/>
    </row>
    <row r="10" ht="23.85" customHeight="1" s="12">
      <c r="A10" s="26" t="inlineStr">
        <is>
          <t>TC-LOGIN-009</t>
        </is>
      </c>
      <c r="B10" s="27" t="inlineStr">
        <is>
          <t>Logout</t>
        </is>
      </c>
      <c r="C10" s="27" t="inlineStr">
        <is>
          <t>User can log out</t>
        </is>
      </c>
      <c r="D10" s="27" t="inlineStr">
        <is>
          <t>Functional</t>
        </is>
      </c>
      <c r="E10" s="27" t="inlineStr">
        <is>
          <t>P1</t>
        </is>
      </c>
      <c r="F10" s="27" t="inlineStr">
        <is>
          <t>User is logged in</t>
        </is>
      </c>
      <c r="G10" s="27" t="inlineStr">
        <is>
          <t>—</t>
        </is>
      </c>
      <c r="H10" s="27" t="inlineStr">
        <is>
          <t>1. Log in
2. Click 'Log out'</t>
        </is>
      </c>
      <c r="I10" s="27" t="inlineStr">
        <is>
          <t>User is redirected to home; 'Log in' / 'Sign up' visible, 'Welcome' and 'Log out' hidden.</t>
        </is>
      </c>
      <c r="J10" s="27" t="inlineStr">
        <is>
          <t>Automated</t>
        </is>
      </c>
      <c r="K10" s="27" t="inlineStr">
        <is>
          <t>tests/ui/login.spec.ts</t>
        </is>
      </c>
      <c r="L10" s="27" t="inlineStr">
        <is>
          <t>@smoke @regression</t>
        </is>
      </c>
      <c r="M10" s="27" t="inlineStr">
        <is>
          <t>Not Run</t>
        </is>
      </c>
      <c r="N10" s="27" t="n"/>
    </row>
    <row r="11" ht="35.05" customHeight="1" s="12">
      <c r="A11" s="26" t="inlineStr">
        <is>
          <t>TC-LOGIN-010</t>
        </is>
      </c>
      <c r="B11" s="27" t="inlineStr">
        <is>
          <t>Modal behaviour</t>
        </is>
      </c>
      <c r="C11" s="27" t="inlineStr">
        <is>
          <t>Closing the modal does not log the user in</t>
        </is>
      </c>
      <c r="D11" s="27" t="inlineStr">
        <is>
          <t>Edge</t>
        </is>
      </c>
      <c r="E11" s="27" t="inlineStr">
        <is>
          <t>P3</t>
        </is>
      </c>
      <c r="F11" s="27" t="inlineStr">
        <is>
          <t>A registered user exists (auto-provisioned via API by the framework)</t>
        </is>
      </c>
      <c r="G11" s="27" t="inlineStr">
        <is>
          <t>valid credentials</t>
        </is>
      </c>
      <c r="H11" s="27" t="inlineStr">
        <is>
          <t>1. Open Log in modal
2. Fill valid credentials
3. Click 'Close' instead of 'Log in'</t>
        </is>
      </c>
      <c r="I11" s="27" t="inlineStr">
        <is>
          <t>Modal closes; user is still logged out.</t>
        </is>
      </c>
      <c r="J11" s="27" t="inlineStr">
        <is>
          <t>Automated</t>
        </is>
      </c>
      <c r="K11" s="27" t="inlineStr">
        <is>
          <t>tests/ui/login.spec.ts</t>
        </is>
      </c>
      <c r="L11" s="27" t="inlineStr">
        <is>
          <t>@regression</t>
        </is>
      </c>
      <c r="M11" s="27" t="inlineStr">
        <is>
          <t>Not Run</t>
        </is>
      </c>
      <c r="N11" s="27" t="n"/>
    </row>
    <row r="12" ht="35.05" customHeight="1" s="12">
      <c r="A12" s="26" t="inlineStr">
        <is>
          <t>TC-LOGIN-011</t>
        </is>
      </c>
      <c r="B12" s="27" t="inlineStr">
        <is>
          <t>Security</t>
        </is>
      </c>
      <c r="C12" s="27" t="inlineStr">
        <is>
          <t>SQL-injection style input is treated as text</t>
        </is>
      </c>
      <c r="D12" s="27" t="inlineStr">
        <is>
          <t>Security</t>
        </is>
      </c>
      <c r="E12" s="27" t="inlineStr">
        <is>
          <t>P2</t>
        </is>
      </c>
      <c r="F12" s="27" t="inlineStr">
        <is>
          <t>—</t>
        </is>
      </c>
      <c r="G12" s="27" t="inlineStr">
        <is>
          <t>username="' OR '1'='1' --" password="' OR '1'='1"</t>
        </is>
      </c>
      <c r="H12" s="27" t="inlineStr">
        <is>
          <t>1. Open Log in modal
2. Enter the injection payload in both fields
3. Click 'Log in'</t>
        </is>
      </c>
      <c r="I12" s="27" t="inlineStr">
        <is>
          <t>Alert 'User does not exist.'; no authentication bypass, no server error.</t>
        </is>
      </c>
      <c r="J12" s="27" t="inlineStr">
        <is>
          <t>Automated</t>
        </is>
      </c>
      <c r="K12" s="27" t="inlineStr">
        <is>
          <t>tests/ui/login.spec.ts</t>
        </is>
      </c>
      <c r="L12" s="27" t="inlineStr">
        <is>
          <t>@regression @security</t>
        </is>
      </c>
      <c r="M12" s="27" t="inlineStr">
        <is>
          <t>Not Run</t>
        </is>
      </c>
      <c r="N12" s="27" t="n"/>
    </row>
    <row r="13" ht="46.25" customHeight="1" s="12">
      <c r="A13" s="26" t="inlineStr">
        <is>
          <t>TC-LOGIN-012</t>
        </is>
      </c>
      <c r="B13" s="27" t="inlineStr">
        <is>
          <t>Sign up → Login</t>
        </is>
      </c>
      <c r="C13" s="27" t="inlineStr">
        <is>
          <t>A newly signed-up user can log in</t>
        </is>
      </c>
      <c r="D13" s="27" t="inlineStr">
        <is>
          <t>Functional</t>
        </is>
      </c>
      <c r="E13" s="27" t="inlineStr">
        <is>
          <t>P1</t>
        </is>
      </c>
      <c r="F13" s="27" t="inlineStr">
        <is>
          <t>—</t>
        </is>
      </c>
      <c r="G13" s="27" t="inlineStr">
        <is>
          <t>new unique username + password</t>
        </is>
      </c>
      <c r="H13" s="27" t="inlineStr">
        <is>
          <t>1. Click 'Sign up'
2. Register a new unique user
3. Accept 'Sign up successful.'
4. Log in with the new credentials</t>
        </is>
      </c>
      <c r="I13" s="27" t="inlineStr">
        <is>
          <t>Sign-up alert 'Sign up successful.'; login succeeds with 'Welcome &lt;username&gt;'.</t>
        </is>
      </c>
      <c r="J13" s="27" t="inlineStr">
        <is>
          <t>Automated</t>
        </is>
      </c>
      <c r="K13" s="27" t="inlineStr">
        <is>
          <t>tests/ui/login.spec.ts</t>
        </is>
      </c>
      <c r="L13" s="27" t="inlineStr">
        <is>
          <t>@regression</t>
        </is>
      </c>
      <c r="M13" s="27" t="inlineStr">
        <is>
          <t>Not Run</t>
        </is>
      </c>
      <c r="N13" s="27" t="n"/>
    </row>
    <row r="14" ht="35.05" customHeight="1" s="12">
      <c r="A14" s="26" t="inlineStr">
        <is>
          <t>TC-LOGIN-013</t>
        </is>
      </c>
      <c r="B14" s="27" t="inlineStr">
        <is>
          <t>Sign up</t>
        </is>
      </c>
      <c r="C14" s="27" t="inlineStr">
        <is>
          <t>Duplicate username is rejected on sign up</t>
        </is>
      </c>
      <c r="D14" s="27" t="inlineStr">
        <is>
          <t>Negative</t>
        </is>
      </c>
      <c r="E14" s="27" t="inlineStr">
        <is>
          <t>P2</t>
        </is>
      </c>
      <c r="F14" s="27" t="inlineStr">
        <is>
          <t>A registered user exists (auto-provisioned via API by the framework)</t>
        </is>
      </c>
      <c r="G14" s="27" t="inlineStr">
        <is>
          <t>existing username</t>
        </is>
      </c>
      <c r="H14" s="27" t="inlineStr">
        <is>
          <t>1. Click 'Sign up'
2. Enter an already registered username
3. Click 'Sign up'</t>
        </is>
      </c>
      <c r="I14" s="27" t="inlineStr">
        <is>
          <t>Alert 'This user already exist.'</t>
        </is>
      </c>
      <c r="J14" s="27" t="inlineStr">
        <is>
          <t>Automated</t>
        </is>
      </c>
      <c r="K14" s="27" t="inlineStr">
        <is>
          <t>tests/ui/login.spec.ts</t>
        </is>
      </c>
      <c r="L14" s="27" t="inlineStr">
        <is>
          <t>@regression</t>
        </is>
      </c>
      <c r="M14" s="27" t="inlineStr">
        <is>
          <t>Not Run</t>
        </is>
      </c>
      <c r="N14" s="27" t="n"/>
    </row>
    <row r="15" ht="35.05" customHeight="1" s="12">
      <c r="A15" s="26" t="inlineStr">
        <is>
          <t>TC-LOGIN-014</t>
        </is>
      </c>
      <c r="B15" s="27" t="inlineStr">
        <is>
          <t>Modal behaviour</t>
        </is>
      </c>
      <c r="C15" s="27" t="inlineStr">
        <is>
          <t>Close login modal with the × icon / Esc</t>
        </is>
      </c>
      <c r="D15" s="27" t="inlineStr">
        <is>
          <t>UI</t>
        </is>
      </c>
      <c r="E15" s="27" t="inlineStr">
        <is>
          <t>P3</t>
        </is>
      </c>
      <c r="F15" s="27" t="inlineStr">
        <is>
          <t>—</t>
        </is>
      </c>
      <c r="G15" s="27" t="inlineStr">
        <is>
          <t>—</t>
        </is>
      </c>
      <c r="H15" s="27" t="inlineStr">
        <is>
          <t>1. Open Log in modal
2. Click the × icon
3. Re-open and press Esc</t>
        </is>
      </c>
      <c r="I15" s="27" t="inlineStr">
        <is>
          <t>Modal closes each time; page remains usable.</t>
        </is>
      </c>
      <c r="J15" s="27" t="inlineStr">
        <is>
          <t>Manual</t>
        </is>
      </c>
      <c r="K15" s="27" t="n"/>
      <c r="L15" s="27" t="n"/>
      <c r="M15" s="27" t="inlineStr">
        <is>
          <t>Not Run</t>
        </is>
      </c>
      <c r="N15" s="27" t="n"/>
    </row>
    <row r="16" ht="46.25" customHeight="1" s="12">
      <c r="A16" s="26" t="inlineStr">
        <is>
          <t>TC-LOGIN-015</t>
        </is>
      </c>
      <c r="B16" s="27" t="inlineStr">
        <is>
          <t>Edge input</t>
        </is>
      </c>
      <c r="C16" s="27" t="inlineStr">
        <is>
          <t>Username with leading/trailing spaces</t>
        </is>
      </c>
      <c r="D16" s="27" t="inlineStr">
        <is>
          <t>Edge</t>
        </is>
      </c>
      <c r="E16" s="27" t="inlineStr">
        <is>
          <t>P3</t>
        </is>
      </c>
      <c r="F16" s="27" t="inlineStr">
        <is>
          <t>A registered user exists (auto-provisioned via API by the framework)</t>
        </is>
      </c>
      <c r="G16" s="27" t="inlineStr">
        <is>
          <t>'  &lt;username&gt;  '</t>
        </is>
      </c>
      <c r="H16" s="27" t="inlineStr">
        <is>
          <t>1. Open Log in modal
2. Enter the valid username padded with spaces + valid password
3. Click 'Log in'</t>
        </is>
      </c>
      <c r="I16" s="27" t="inlineStr">
        <is>
          <t>Behaviour is consistent and defined (either trimmed and accepted, or clearly rejected) — no confusing error.</t>
        </is>
      </c>
      <c r="J16" s="27" t="inlineStr">
        <is>
          <t>Candidate</t>
        </is>
      </c>
      <c r="K16" s="27" t="n"/>
      <c r="L16" s="27" t="n"/>
      <c r="M16" s="27" t="inlineStr">
        <is>
          <t>Not Run</t>
        </is>
      </c>
      <c r="N16" s="27" t="n"/>
    </row>
    <row r="17" ht="46.25" customHeight="1" s="12">
      <c r="A17" s="26" t="inlineStr">
        <is>
          <t>TC-LOGIN-016</t>
        </is>
      </c>
      <c r="B17" s="27" t="inlineStr">
        <is>
          <t>Edge input</t>
        </is>
      </c>
      <c r="C17" s="27" t="inlineStr">
        <is>
          <t>Username case sensitivity</t>
        </is>
      </c>
      <c r="D17" s="27" t="inlineStr">
        <is>
          <t>Edge</t>
        </is>
      </c>
      <c r="E17" s="27" t="inlineStr">
        <is>
          <t>P3</t>
        </is>
      </c>
      <c r="F17" s="27" t="inlineStr">
        <is>
          <t>A registered user exists (auto-provisioned via API by the framework)</t>
        </is>
      </c>
      <c r="G17" s="27" t="inlineStr">
        <is>
          <t>USERNAME in different case</t>
        </is>
      </c>
      <c r="H17" s="27" t="inlineStr">
        <is>
          <t>1. Open Log in modal
2. Enter the username with changed letter case + valid password
3. Click 'Log in'</t>
        </is>
      </c>
      <c r="I17" s="27" t="inlineStr">
        <is>
          <t>Matches product rule for usernames (case-sensitive → 'User does not exist.'). Document actual behaviour.</t>
        </is>
      </c>
      <c r="J17" s="27" t="inlineStr">
        <is>
          <t>Candidate</t>
        </is>
      </c>
      <c r="K17" s="27" t="n"/>
      <c r="L17" s="27" t="n"/>
      <c r="M17" s="27" t="inlineStr">
        <is>
          <t>Not Run</t>
        </is>
      </c>
      <c r="N17" s="27" t="n"/>
    </row>
    <row r="18" ht="35.05" customHeight="1" s="12">
      <c r="A18" s="26" t="inlineStr">
        <is>
          <t>TC-LOGIN-017</t>
        </is>
      </c>
      <c r="B18" s="27" t="inlineStr">
        <is>
          <t>Edge input</t>
        </is>
      </c>
      <c r="C18" s="27" t="inlineStr">
        <is>
          <t>Very long username / password (500+ chars)</t>
        </is>
      </c>
      <c r="D18" s="27" t="inlineStr">
        <is>
          <t>Edge</t>
        </is>
      </c>
      <c r="E18" s="27" t="inlineStr">
        <is>
          <t>P3</t>
        </is>
      </c>
      <c r="F18" s="27" t="inlineStr">
        <is>
          <t>—</t>
        </is>
      </c>
      <c r="G18" s="27" t="inlineStr">
        <is>
          <t>500-char strings</t>
        </is>
      </c>
      <c r="H18" s="27" t="inlineStr">
        <is>
          <t>1. Open Log in modal
2. Paste 500+ characters into both fields
3. Click 'Log in'</t>
        </is>
      </c>
      <c r="I18" s="27" t="inlineStr">
        <is>
          <t>Handled gracefully: an error alert, no hang, no layout break.</t>
        </is>
      </c>
      <c r="J18" s="27" t="inlineStr">
        <is>
          <t>Candidate</t>
        </is>
      </c>
      <c r="K18" s="27" t="n"/>
      <c r="L18" s="27" t="n"/>
      <c r="M18" s="27" t="inlineStr">
        <is>
          <t>Not Run</t>
        </is>
      </c>
      <c r="N18" s="27" t="n"/>
    </row>
    <row r="19" ht="23.85" customHeight="1" s="12">
      <c r="A19" s="26" t="inlineStr">
        <is>
          <t>TC-LOGIN-018</t>
        </is>
      </c>
      <c r="B19" s="27" t="inlineStr">
        <is>
          <t>Edge input</t>
        </is>
      </c>
      <c r="C19" s="27" t="inlineStr">
        <is>
          <t>Unicode credentials</t>
        </is>
      </c>
      <c r="D19" s="27" t="inlineStr">
        <is>
          <t>Edge</t>
        </is>
      </c>
      <c r="E19" s="27" t="inlineStr">
        <is>
          <t>P3</t>
        </is>
      </c>
      <c r="F19" s="27" t="inlineStr">
        <is>
          <t>User registered with unicode username e.g. 'người_dùng'</t>
        </is>
      </c>
      <c r="G19" s="27" t="inlineStr">
        <is>
          <t>unicode username / password</t>
        </is>
      </c>
      <c r="H19" s="27" t="inlineStr">
        <is>
          <t>1. Sign up with a unicode username
2. Log in with it</t>
        </is>
      </c>
      <c r="I19" s="27" t="inlineStr">
        <is>
          <t>Login succeeds; welcome text renders unicode correctly.</t>
        </is>
      </c>
      <c r="J19" s="27" t="inlineStr">
        <is>
          <t>Candidate</t>
        </is>
      </c>
      <c r="K19" s="27" t="n"/>
      <c r="L19" s="27" t="n"/>
      <c r="M19" s="27" t="inlineStr">
        <is>
          <t>Not Run</t>
        </is>
      </c>
      <c r="N19" s="27" t="n"/>
    </row>
    <row r="20" ht="35.05" customHeight="1" s="12">
      <c r="A20" s="26" t="inlineStr">
        <is>
          <t>TC-LOGIN-019</t>
        </is>
      </c>
      <c r="B20" s="27" t="inlineStr">
        <is>
          <t>Security</t>
        </is>
      </c>
      <c r="C20" s="27" t="inlineStr">
        <is>
          <t>Script injection in username is not executed</t>
        </is>
      </c>
      <c r="D20" s="27" t="inlineStr">
        <is>
          <t>Security</t>
        </is>
      </c>
      <c r="E20" s="27" t="inlineStr">
        <is>
          <t>P2</t>
        </is>
      </c>
      <c r="F20" s="27" t="inlineStr">
        <is>
          <t>—</t>
        </is>
      </c>
      <c r="G20" s="27" t="inlineStr">
        <is>
          <t>&lt;script&gt;alert(1)&lt;/script&gt;</t>
        </is>
      </c>
      <c r="H20" s="27" t="inlineStr">
        <is>
          <t>1. Sign up with the payload as username (if accepted)
2. Log in with it
3. Observe navbar</t>
        </is>
      </c>
      <c r="I20" s="27" t="inlineStr">
        <is>
          <t>No script executes; payload is rendered as plain text in 'Welcome …'.</t>
        </is>
      </c>
      <c r="J20" s="27" t="inlineStr">
        <is>
          <t>Candidate</t>
        </is>
      </c>
      <c r="K20" s="27" t="n"/>
      <c r="L20" s="27" t="n"/>
      <c r="M20" s="27" t="inlineStr">
        <is>
          <t>Not Run</t>
        </is>
      </c>
      <c r="N20" s="27" t="n"/>
    </row>
    <row r="21" ht="35.05" customHeight="1" s="12">
      <c r="A21" s="26" t="inlineStr">
        <is>
          <t>TC-LOGIN-020</t>
        </is>
      </c>
      <c r="B21" s="27" t="inlineStr">
        <is>
          <t>Usability</t>
        </is>
      </c>
      <c r="C21" s="27" t="inlineStr">
        <is>
          <t>Submit with Enter key</t>
        </is>
      </c>
      <c r="D21" s="27" t="inlineStr">
        <is>
          <t>Usability</t>
        </is>
      </c>
      <c r="E21" s="27" t="inlineStr">
        <is>
          <t>P3</t>
        </is>
      </c>
      <c r="F21" s="27" t="inlineStr">
        <is>
          <t>A registered user exists (auto-provisioned via API by the framework)</t>
        </is>
      </c>
      <c r="G21" s="27" t="inlineStr">
        <is>
          <t>valid credentials</t>
        </is>
      </c>
      <c r="H21" s="27" t="inlineStr">
        <is>
          <t>1. Open Log in modal
2. Fill credentials
3. Press Enter in the password field</t>
        </is>
      </c>
      <c r="I21" s="27" t="inlineStr">
        <is>
          <t>Form submits (or behaviour documented if not supported).</t>
        </is>
      </c>
      <c r="J21" s="27" t="inlineStr">
        <is>
          <t>Manual</t>
        </is>
      </c>
      <c r="K21" s="27" t="n"/>
      <c r="L21" s="27" t="n"/>
      <c r="M21" s="27" t="inlineStr">
        <is>
          <t>Not Run</t>
        </is>
      </c>
      <c r="N21" s="27" t="n"/>
    </row>
    <row r="22" ht="35.05" customHeight="1" s="12">
      <c r="A22" s="26" t="inlineStr">
        <is>
          <t>TC-LOGIN-021</t>
        </is>
      </c>
      <c r="B22" s="27" t="inlineStr">
        <is>
          <t>Robustness</t>
        </is>
      </c>
      <c r="C22" s="27" t="inlineStr">
        <is>
          <t>Double-click on 'Log in'</t>
        </is>
      </c>
      <c r="D22" s="27" t="inlineStr">
        <is>
          <t>Edge</t>
        </is>
      </c>
      <c r="E22" s="27" t="inlineStr">
        <is>
          <t>P3</t>
        </is>
      </c>
      <c r="F22" s="27" t="inlineStr">
        <is>
          <t>A registered user exists (auto-provisioned via API by the framework)</t>
        </is>
      </c>
      <c r="G22" s="27" t="inlineStr">
        <is>
          <t>valid credentials</t>
        </is>
      </c>
      <c r="H22" s="27" t="inlineStr">
        <is>
          <t>1. Open Log in modal
2. Fill credentials
3. Double-click 'Log in' quickly</t>
        </is>
      </c>
      <c r="I22" s="27" t="inlineStr">
        <is>
          <t>Single successful login; no duplicate errors.</t>
        </is>
      </c>
      <c r="J22" s="27" t="inlineStr">
        <is>
          <t>Manual</t>
        </is>
      </c>
      <c r="K22" s="27" t="n"/>
      <c r="L22" s="27" t="n"/>
      <c r="M22" s="27" t="inlineStr">
        <is>
          <t>Not Run</t>
        </is>
      </c>
      <c r="N22" s="27" t="n"/>
    </row>
    <row r="23" ht="35.05" customHeight="1" s="12">
      <c r="A23" s="26" t="inlineStr">
        <is>
          <t>TC-LOGIN-022</t>
        </is>
      </c>
      <c r="B23" s="27" t="inlineStr">
        <is>
          <t>Session</t>
        </is>
      </c>
      <c r="C23" s="27" t="inlineStr">
        <is>
          <t>Login state shared between tabs</t>
        </is>
      </c>
      <c r="D23" s="27" t="inlineStr">
        <is>
          <t>Functional</t>
        </is>
      </c>
      <c r="E23" s="27" t="inlineStr">
        <is>
          <t>P3</t>
        </is>
      </c>
      <c r="F23" s="27" t="inlineStr">
        <is>
          <t>A registered user exists (auto-provisioned via API by the framework)</t>
        </is>
      </c>
      <c r="G23" s="27" t="inlineStr">
        <is>
          <t>—</t>
        </is>
      </c>
      <c r="H23" s="27" t="inlineStr">
        <is>
          <t>1. Log in in tab A
2. Open the site in tab B</t>
        </is>
      </c>
      <c r="I23" s="27" t="inlineStr">
        <is>
          <t>Tab B shows the user as logged in (cookie-based session).</t>
        </is>
      </c>
      <c r="J23" s="27" t="inlineStr">
        <is>
          <t>Manual</t>
        </is>
      </c>
      <c r="K23" s="27" t="n"/>
      <c r="L23" s="27" t="n"/>
      <c r="M23" s="27" t="inlineStr">
        <is>
          <t>Not Run</t>
        </is>
      </c>
      <c r="N23" s="27" t="n"/>
    </row>
    <row r="24" ht="35.05" customHeight="1" s="12">
      <c r="A24" s="26" t="inlineStr">
        <is>
          <t>TC-LOGIN-023</t>
        </is>
      </c>
      <c r="B24" s="27" t="inlineStr">
        <is>
          <t>Security</t>
        </is>
      </c>
      <c r="C24" s="27" t="inlineStr">
        <is>
          <t>Repeated wrong passwords (brute force)</t>
        </is>
      </c>
      <c r="D24" s="27" t="inlineStr">
        <is>
          <t>Security</t>
        </is>
      </c>
      <c r="E24" s="27" t="inlineStr">
        <is>
          <t>P2</t>
        </is>
      </c>
      <c r="F24" s="27" t="inlineStr">
        <is>
          <t>A registered user exists (auto-provisioned via API by the framework)</t>
        </is>
      </c>
      <c r="G24" s="27" t="inlineStr">
        <is>
          <t>10 wrong passwords in a row</t>
        </is>
      </c>
      <c r="H24" s="27" t="inlineStr">
        <is>
          <t>1. Attempt login 10× with wrong password</t>
        </is>
      </c>
      <c r="I24" s="27" t="inlineStr">
        <is>
          <t>Account lockout / throttling / CAPTCHA after N failures (security expectation). Record actual behaviour.</t>
        </is>
      </c>
      <c r="J24" s="27" t="inlineStr">
        <is>
          <t>Manual</t>
        </is>
      </c>
      <c r="K24" s="27" t="n"/>
      <c r="L24" s="27" t="n"/>
      <c r="M24" s="27" t="inlineStr">
        <is>
          <t>Not Run</t>
        </is>
      </c>
      <c r="N24" s="27" t="n"/>
    </row>
    <row r="25" ht="35.05" customHeight="1" s="12">
      <c r="A25" s="26" t="inlineStr">
        <is>
          <t>TC-LOGIN-024</t>
        </is>
      </c>
      <c r="B25" s="27" t="inlineStr">
        <is>
          <t>Session</t>
        </is>
      </c>
      <c r="C25" s="27" t="inlineStr">
        <is>
          <t>Expired / tampered token</t>
        </is>
      </c>
      <c r="D25" s="27" t="inlineStr">
        <is>
          <t>Negative</t>
        </is>
      </c>
      <c r="E25" s="27" t="inlineStr">
        <is>
          <t>P3</t>
        </is>
      </c>
      <c r="F25" s="27" t="inlineStr">
        <is>
          <t>User logged in</t>
        </is>
      </c>
      <c r="G25" s="27" t="inlineStr">
        <is>
          <t>edit 'tokenp_' cookie to a random value</t>
        </is>
      </c>
      <c r="H25" s="27" t="inlineStr">
        <is>
          <t>1. Log in
2. Change the 'tokenp_' cookie value in DevTools
3. Reload the page</t>
        </is>
      </c>
      <c r="I25" s="27" t="inlineStr">
        <is>
          <t>User treated as logged out or alert 'Bad parameter, token malformed.' / 'Your token has expired, please login again.'</t>
        </is>
      </c>
      <c r="J25" s="27" t="inlineStr">
        <is>
          <t>Manual</t>
        </is>
      </c>
      <c r="K25" s="27" t="n"/>
      <c r="L25" s="27" t="n"/>
      <c r="M25" s="27" t="inlineStr">
        <is>
          <t>Not Run</t>
        </is>
      </c>
      <c r="N25" s="27" t="n"/>
    </row>
    <row r="26" ht="35.05" customHeight="1" s="12">
      <c r="A26" s="26" t="inlineStr">
        <is>
          <t>TC-LOGIN-025</t>
        </is>
      </c>
      <c r="B26" s="27" t="inlineStr">
        <is>
          <t>Compatibility</t>
        </is>
      </c>
      <c r="C26" s="27" t="inlineStr">
        <is>
          <t>Login works on Chrome, Firefox, Safari and mobile</t>
        </is>
      </c>
      <c r="D26" s="27" t="inlineStr">
        <is>
          <t>Compatibility</t>
        </is>
      </c>
      <c r="E26" s="27" t="inlineStr">
        <is>
          <t>P2</t>
        </is>
      </c>
      <c r="F26" s="27" t="inlineStr">
        <is>
          <t>A registered user exists (auto-provisioned via API by the framework)</t>
        </is>
      </c>
      <c r="G26" s="27" t="inlineStr">
        <is>
          <t>—</t>
        </is>
      </c>
      <c r="H26" s="27" t="inlineStr">
        <is>
          <t>1. Run TC-LOGIN-001 and TC-LOGIN-009 on each browser / device</t>
        </is>
      </c>
      <c r="I26" s="27" t="inlineStr">
        <is>
          <t>Same behaviour on all targets (hamburger menu used on mobile).</t>
        </is>
      </c>
      <c r="J26" s="27" t="inlineStr">
        <is>
          <t>Automated</t>
        </is>
      </c>
      <c r="K26" s="27" t="inlineStr">
        <is>
          <t>playwright.config.ts (projects)</t>
        </is>
      </c>
      <c r="L26" s="27" t="inlineStr">
        <is>
          <t>@smoke (mobile)</t>
        </is>
      </c>
      <c r="M26" s="27" t="inlineStr">
        <is>
          <t>Not Run</t>
        </is>
      </c>
      <c r="N26" s="27" t="n"/>
    </row>
  </sheetData>
  <autoFilter ref="A1:N26"/>
  <conditionalFormatting sqref="M2:M26">
    <cfRule type="cellIs" rank="0" priority="2" equalAverage="0" operator="equal" aboveAverage="0" dxfId="3" text="" percent="0" bottom="0">
      <formula>"Pass"</formula>
    </cfRule>
    <cfRule type="cellIs" rank="0" priority="3" equalAverage="0" operator="equal" aboveAverage="0" dxfId="4" text="" percent="0" bottom="0">
      <formula>"Fail"</formula>
    </cfRule>
    <cfRule type="cellIs" rank="0" priority="4" equalAverage="0" operator="equal" aboveAverage="0" dxfId="5" text="" percent="0" bottom="0">
      <formula>"Expected Fail"</formula>
    </cfRule>
  </conditionalFormatting>
  <conditionalFormatting sqref="L2:L26">
    <cfRule type="expression" rank="0" priority="5" equalAverage="0" aboveAverage="0" dxfId="5" text="" percent="0" bottom="0">
      <formula>ISNUMBER(SEARCH("@known-bug",L2))</formula>
    </cfRule>
  </conditionalFormatting>
  <dataValidations count="3">
    <dataValidation sqref="M2:M26" showDropDown="0" showInputMessage="0" showErrorMessage="0" allowBlank="1" type="list" errorStyle="stop" operator="between">
      <formula1>"Not Run,Pass,Fail,Blocked,Expected Fail"</formula1>
      <formula2>0</formula2>
    </dataValidation>
    <dataValidation sqref="J2:J26" showDropDown="0" showInputMessage="0" showErrorMessage="0" allowBlank="1" type="list" errorStyle="stop" operator="between">
      <formula1>"Automated,Candidate,Manual"</formula1>
      <formula2>0</formula2>
    </dataValidation>
    <dataValidation sqref="E2:E26" showDropDown="0" showInputMessage="0" showErrorMessage="0" allowBlank="1" type="list" errorStyle="stop" operator="between">
      <formula1>"P1,P2,P3"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11" min="1" max="1"/>
    <col width="18" customWidth="1" style="11" min="2" max="2"/>
    <col width="40" customWidth="1" style="11" min="3" max="3"/>
    <col width="13" customWidth="1" style="11" min="4" max="4"/>
    <col width="9" customWidth="1" style="11" min="5" max="5"/>
    <col width="28" customWidth="1" style="11" min="6" max="7"/>
    <col width="52" customWidth="1" style="11" min="8" max="8"/>
    <col width="48" customWidth="1" style="11" min="9" max="9"/>
    <col width="13" customWidth="1" style="11" min="10" max="10"/>
    <col width="30" customWidth="1" style="11" min="11" max="11"/>
    <col width="18" customWidth="1" style="11" min="12" max="12"/>
    <col width="11" customWidth="1" style="11" min="13" max="13"/>
    <col width="34" customWidth="1" style="11" min="14" max="14"/>
  </cols>
  <sheetData>
    <row r="1" ht="26.85" customHeight="1" s="12">
      <c r="A1" s="18" t="inlineStr">
        <is>
          <t>TC ID</t>
        </is>
      </c>
      <c r="B1" s="18" t="inlineStr">
        <is>
          <t>Scenario</t>
        </is>
      </c>
      <c r="C1" s="18" t="inlineStr">
        <is>
          <t>Title</t>
        </is>
      </c>
      <c r="D1" s="18" t="inlineStr">
        <is>
          <t>Type</t>
        </is>
      </c>
      <c r="E1" s="18" t="inlineStr">
        <is>
          <t>Priority</t>
        </is>
      </c>
      <c r="F1" s="18" t="inlineStr">
        <is>
          <t>Preconditions</t>
        </is>
      </c>
      <c r="G1" s="18" t="inlineStr">
        <is>
          <t>Test Data</t>
        </is>
      </c>
      <c r="H1" s="18" t="inlineStr">
        <is>
          <t>Steps</t>
        </is>
      </c>
      <c r="I1" s="18" t="inlineStr">
        <is>
          <t>Expected Result</t>
        </is>
      </c>
      <c r="J1" s="18" t="inlineStr">
        <is>
          <t>Automation</t>
        </is>
      </c>
      <c r="K1" s="18" t="inlineStr">
        <is>
          <t>Automated In</t>
        </is>
      </c>
      <c r="L1" s="18" t="inlineStr">
        <is>
          <t>Tags</t>
        </is>
      </c>
      <c r="M1" s="18" t="inlineStr">
        <is>
          <t>Status</t>
        </is>
      </c>
      <c r="N1" s="18" t="inlineStr">
        <is>
          <t>Actual Result / Notes</t>
        </is>
      </c>
    </row>
    <row r="2" ht="68.65000000000001" customHeight="1" s="12">
      <c r="A2" s="26" t="inlineStr">
        <is>
          <t>TC-CART-001</t>
        </is>
      </c>
      <c r="B2" s="27" t="inlineStr">
        <is>
          <t>Add to cart</t>
        </is>
      </c>
      <c r="C2" s="27" t="inlineStr">
        <is>
          <t>Guest adds a product from the catalogue</t>
        </is>
      </c>
      <c r="D2" s="27" t="inlineStr">
        <is>
          <t>Functional</t>
        </is>
      </c>
      <c r="E2" s="27" t="inlineStr">
        <is>
          <t>P1</t>
        </is>
      </c>
      <c r="F2" s="27" t="inlineStr">
        <is>
          <t>Guest (not logged in)</t>
        </is>
      </c>
      <c r="G2" s="27" t="inlineStr">
        <is>
          <t>Samsung galaxy s6</t>
        </is>
      </c>
      <c r="H2" s="27" t="inlineStr">
        <is>
          <t>1. Open home page
2. Click the product
3. Note the price
4. Click 'Add to cart'
5. Accept the alert
6. Open Cart</t>
        </is>
      </c>
      <c r="I2" s="27" t="inlineStr">
        <is>
          <t>Alert 'Product added' shown; cart has exactly 1 line with the same title and price; Total equals that price.</t>
        </is>
      </c>
      <c r="J2" s="27" t="inlineStr">
        <is>
          <t>Automated</t>
        </is>
      </c>
      <c r="K2" s="27" t="inlineStr">
        <is>
          <t>tests/ui/cart.spec.ts</t>
        </is>
      </c>
      <c r="L2" s="27" t="inlineStr">
        <is>
          <t>@smoke @regression</t>
        </is>
      </c>
      <c r="M2" s="27" t="inlineStr">
        <is>
          <t>Not Run</t>
        </is>
      </c>
      <c r="N2" s="27" t="n"/>
    </row>
    <row r="3" ht="23.85" customHeight="1" s="12">
      <c r="A3" s="26" t="inlineStr">
        <is>
          <t>TC-CART-002</t>
        </is>
      </c>
      <c r="B3" s="27" t="inlineStr">
        <is>
          <t>Empty cart</t>
        </is>
      </c>
      <c r="C3" s="27" t="inlineStr">
        <is>
          <t>Empty cart shows no lines and no total</t>
        </is>
      </c>
      <c r="D3" s="27" t="inlineStr">
        <is>
          <t>Edge</t>
        </is>
      </c>
      <c r="E3" s="27" t="inlineStr">
        <is>
          <t>P2</t>
        </is>
      </c>
      <c r="F3" s="27" t="inlineStr">
        <is>
          <t>New guest session</t>
        </is>
      </c>
      <c r="G3" s="27" t="inlineStr">
        <is>
          <t>—</t>
        </is>
      </c>
      <c r="H3" s="27" t="inlineStr">
        <is>
          <t>1. Open cart.html in a fresh session</t>
        </is>
      </c>
      <c r="I3" s="27" t="inlineStr">
        <is>
          <t>No product rows; Total is empty; 'Place Order' button visible.</t>
        </is>
      </c>
      <c r="J3" s="27" t="inlineStr">
        <is>
          <t>Automated</t>
        </is>
      </c>
      <c r="K3" s="27" t="inlineStr">
        <is>
          <t>tests/ui/cart.spec.ts</t>
        </is>
      </c>
      <c r="L3" s="27" t="inlineStr">
        <is>
          <t>@regression</t>
        </is>
      </c>
      <c r="M3" s="27" t="inlineStr">
        <is>
          <t>Not Run</t>
        </is>
      </c>
      <c r="N3" s="27" t="n"/>
    </row>
    <row r="4" ht="23.85" customHeight="1" s="12">
      <c r="A4" s="26" t="inlineStr">
        <is>
          <t>TC-CART-003</t>
        </is>
      </c>
      <c r="B4" s="27" t="inlineStr">
        <is>
          <t>Isolation</t>
        </is>
      </c>
      <c r="C4" s="27" t="inlineStr">
        <is>
          <t>Cart of one guest is not visible to another guest</t>
        </is>
      </c>
      <c r="D4" s="27" t="inlineStr">
        <is>
          <t>Functional</t>
        </is>
      </c>
      <c r="E4" s="27" t="inlineStr">
        <is>
          <t>P2</t>
        </is>
      </c>
      <c r="F4" s="27" t="inlineStr">
        <is>
          <t>Two separate browser sessions</t>
        </is>
      </c>
      <c r="G4" s="27" t="inlineStr">
        <is>
          <t>Nexus 6</t>
        </is>
      </c>
      <c r="H4" s="27" t="inlineStr">
        <is>
          <t>1. Session A: add a product
2. Session B (new browser context): open Cart</t>
        </is>
      </c>
      <c r="I4" s="27" t="inlineStr">
        <is>
          <t>Session B cart is empty.</t>
        </is>
      </c>
      <c r="J4" s="27" t="inlineStr">
        <is>
          <t>Automated</t>
        </is>
      </c>
      <c r="K4" s="27" t="inlineStr">
        <is>
          <t>tests/ui/cart.spec.ts</t>
        </is>
      </c>
      <c r="L4" s="27" t="inlineStr">
        <is>
          <t>@regression</t>
        </is>
      </c>
      <c r="M4" s="27" t="inlineStr">
        <is>
          <t>Not Run</t>
        </is>
      </c>
      <c r="N4" s="27" t="n"/>
    </row>
    <row r="5" ht="46.25" customHeight="1" s="12">
      <c r="A5" s="26" t="inlineStr">
        <is>
          <t>TC-CART-004</t>
        </is>
      </c>
      <c r="B5" s="27" t="inlineStr">
        <is>
          <t>Add to cart</t>
        </is>
      </c>
      <c r="C5" s="27" t="inlineStr">
        <is>
          <t>Logged-in user adds a product</t>
        </is>
      </c>
      <c r="D5" s="27" t="inlineStr">
        <is>
          <t>Functional</t>
        </is>
      </c>
      <c r="E5" s="27" t="inlineStr">
        <is>
          <t>P1</t>
        </is>
      </c>
      <c r="F5" s="27" t="inlineStr">
        <is>
          <t>User is logged in</t>
        </is>
      </c>
      <c r="G5" s="27" t="inlineStr">
        <is>
          <t>Nokia lumia 1520</t>
        </is>
      </c>
      <c r="H5" s="27" t="inlineStr">
        <is>
          <t>1. Log in
2. Open product page
3. Click 'Add to cart'
4. Open Cart</t>
        </is>
      </c>
      <c r="I5" s="27" t="inlineStr">
        <is>
          <t>Alert 'Product added.'; cart shows the product with correct title and price.</t>
        </is>
      </c>
      <c r="J5" s="27" t="inlineStr">
        <is>
          <t>Automated</t>
        </is>
      </c>
      <c r="K5" s="27" t="inlineStr">
        <is>
          <t>tests/ui/cart.spec.ts</t>
        </is>
      </c>
      <c r="L5" s="27" t="inlineStr">
        <is>
          <t>@smoke @regression</t>
        </is>
      </c>
      <c r="M5" s="27" t="inlineStr">
        <is>
          <t>Not Run</t>
        </is>
      </c>
      <c r="N5" s="27" t="n"/>
    </row>
    <row r="6" ht="35.05" customHeight="1" s="12">
      <c r="A6" s="26" t="inlineStr">
        <is>
          <t>TC-CART-005</t>
        </is>
      </c>
      <c r="B6" s="27" t="inlineStr">
        <is>
          <t>Total</t>
        </is>
      </c>
      <c r="C6" s="27" t="inlineStr">
        <is>
          <t>Total equals the sum of several different products</t>
        </is>
      </c>
      <c r="D6" s="27" t="inlineStr">
        <is>
          <t>Functional</t>
        </is>
      </c>
      <c r="E6" s="27" t="inlineStr">
        <is>
          <t>P1</t>
        </is>
      </c>
      <c r="F6" s="27" t="inlineStr">
        <is>
          <t>User logged in, empty cart</t>
        </is>
      </c>
      <c r="G6" s="27" t="inlineStr">
        <is>
          <t>Samsung galaxy s6, Sony vaio i5, Apple monitor 24 (phone, laptop, monitor)</t>
        </is>
      </c>
      <c r="H6" s="27" t="inlineStr">
        <is>
          <t>1. Add the three products
2. Open Cart</t>
        </is>
      </c>
      <c r="I6" s="27" t="inlineStr">
        <is>
          <t>3 lines with the correct titles; Total = sum of the three product-page prices.</t>
        </is>
      </c>
      <c r="J6" s="27" t="inlineStr">
        <is>
          <t>Automated</t>
        </is>
      </c>
      <c r="K6" s="27" t="inlineStr">
        <is>
          <t>tests/ui/cart.spec.ts</t>
        </is>
      </c>
      <c r="L6" s="27" t="inlineStr">
        <is>
          <t>@regression</t>
        </is>
      </c>
      <c r="M6" s="27" t="inlineStr">
        <is>
          <t>Not Run</t>
        </is>
      </c>
      <c r="N6" s="27" t="n"/>
    </row>
    <row r="7" ht="35.05" customHeight="1" s="12">
      <c r="A7" s="26" t="inlineStr">
        <is>
          <t>TC-CART-006</t>
        </is>
      </c>
      <c r="B7" s="27" t="inlineStr">
        <is>
          <t>Quantity</t>
        </is>
      </c>
      <c r="C7" s="27" t="inlineStr">
        <is>
          <t>Adding the same product twice</t>
        </is>
      </c>
      <c r="D7" s="27" t="inlineStr">
        <is>
          <t>Edge</t>
        </is>
      </c>
      <c r="E7" s="27" t="inlineStr">
        <is>
          <t>P2</t>
        </is>
      </c>
      <c r="F7" s="27" t="inlineStr">
        <is>
          <t>User logged in, empty cart</t>
        </is>
      </c>
      <c r="G7" s="27" t="inlineStr">
        <is>
          <t>Nexus 6 ×2</t>
        </is>
      </c>
      <c r="H7" s="27" t="inlineStr">
        <is>
          <t>1. Add Nexus 6
2. Add Nexus 6 again
3. Open Cart</t>
        </is>
      </c>
      <c r="I7" s="27" t="inlineStr">
        <is>
          <t>Two separate lines (no quantity column); Total = 2 × price.</t>
        </is>
      </c>
      <c r="J7" s="27" t="inlineStr">
        <is>
          <t>Automated</t>
        </is>
      </c>
      <c r="K7" s="27" t="inlineStr">
        <is>
          <t>tests/ui/cart.spec.ts</t>
        </is>
      </c>
      <c r="L7" s="27" t="inlineStr">
        <is>
          <t>@regression</t>
        </is>
      </c>
      <c r="M7" s="27" t="inlineStr">
        <is>
          <t>Not Run</t>
        </is>
      </c>
      <c r="N7" s="27" t="n"/>
    </row>
    <row r="8" ht="23.85" customHeight="1" s="12">
      <c r="A8" s="26" t="inlineStr">
        <is>
          <t>TC-CART-007</t>
        </is>
      </c>
      <c r="B8" s="27" t="inlineStr">
        <is>
          <t>Delete</t>
        </is>
      </c>
      <c r="C8" s="27" t="inlineStr">
        <is>
          <t>Deleting a line updates the cart and total</t>
        </is>
      </c>
      <c r="D8" s="27" t="inlineStr">
        <is>
          <t>Functional</t>
        </is>
      </c>
      <c r="E8" s="27" t="inlineStr">
        <is>
          <t>P1</t>
        </is>
      </c>
      <c r="F8" s="27" t="inlineStr">
        <is>
          <t>Cart has Samsung galaxy s6 + Apple monitor 24</t>
        </is>
      </c>
      <c r="G8" s="27" t="inlineStr">
        <is>
          <t>—</t>
        </is>
      </c>
      <c r="H8" s="27" t="inlineStr">
        <is>
          <t>1. Open Cart
2. Click 'Delete' on Samsung galaxy s6</t>
        </is>
      </c>
      <c r="I8" s="27" t="inlineStr">
        <is>
          <t>Line removed after reload; only Apple monitor 24 remains; Total = its price.</t>
        </is>
      </c>
      <c r="J8" s="27" t="inlineStr">
        <is>
          <t>Automated</t>
        </is>
      </c>
      <c r="K8" s="27" t="inlineStr">
        <is>
          <t>tests/ui/cart.spec.ts</t>
        </is>
      </c>
      <c r="L8" s="27" t="inlineStr">
        <is>
          <t>@regression</t>
        </is>
      </c>
      <c r="M8" s="27" t="inlineStr">
        <is>
          <t>Not Run</t>
        </is>
      </c>
      <c r="N8" s="27" t="n"/>
    </row>
    <row r="9" ht="23.85" customHeight="1" s="12">
      <c r="A9" s="26" t="inlineStr">
        <is>
          <t>TC-CART-008</t>
        </is>
      </c>
      <c r="B9" s="27" t="inlineStr">
        <is>
          <t>Delete</t>
        </is>
      </c>
      <c r="C9" s="27" t="inlineStr">
        <is>
          <t>Deleting the last line leaves an empty cart</t>
        </is>
      </c>
      <c r="D9" s="27" t="inlineStr">
        <is>
          <t>Edge</t>
        </is>
      </c>
      <c r="E9" s="27" t="inlineStr">
        <is>
          <t>P2</t>
        </is>
      </c>
      <c r="F9" s="27" t="inlineStr">
        <is>
          <t>Cart has 1 item</t>
        </is>
      </c>
      <c r="G9" s="27" t="inlineStr">
        <is>
          <t>—</t>
        </is>
      </c>
      <c r="H9" s="27" t="inlineStr">
        <is>
          <t>1. Open Cart
2. Delete the only line</t>
        </is>
      </c>
      <c r="I9" s="27" t="inlineStr">
        <is>
          <t>Cart empty; Total empty.</t>
        </is>
      </c>
      <c r="J9" s="27" t="inlineStr">
        <is>
          <t>Automated</t>
        </is>
      </c>
      <c r="K9" s="27" t="inlineStr">
        <is>
          <t>tests/ui/cart.spec.ts</t>
        </is>
      </c>
      <c r="L9" s="27" t="inlineStr">
        <is>
          <t>@regression</t>
        </is>
      </c>
      <c r="M9" s="27" t="inlineStr">
        <is>
          <t>Not Run</t>
        </is>
      </c>
      <c r="N9" s="27" t="n"/>
    </row>
    <row r="10" ht="46.25" customHeight="1" s="12">
      <c r="A10" s="26" t="inlineStr">
        <is>
          <t>TC-CART-009</t>
        </is>
      </c>
      <c r="B10" s="27" t="inlineStr">
        <is>
          <t>Persistence</t>
        </is>
      </c>
      <c r="C10" s="27" t="inlineStr">
        <is>
          <t>Cart persists across logout and login</t>
        </is>
      </c>
      <c r="D10" s="27" t="inlineStr">
        <is>
          <t>Functional</t>
        </is>
      </c>
      <c r="E10" s="27" t="inlineStr">
        <is>
          <t>P1</t>
        </is>
      </c>
      <c r="F10" s="27" t="inlineStr">
        <is>
          <t>User logged in, empty cart</t>
        </is>
      </c>
      <c r="G10" s="27" t="inlineStr">
        <is>
          <t>Sony vaio i5</t>
        </is>
      </c>
      <c r="H10" s="27" t="inlineStr">
        <is>
          <t>1. Add a product
2. Log out
3. Log in again
4. Open Cart</t>
        </is>
      </c>
      <c r="I10" s="27" t="inlineStr">
        <is>
          <t>The product is still in the cart (server-side cart).</t>
        </is>
      </c>
      <c r="J10" s="27" t="inlineStr">
        <is>
          <t>Automated</t>
        </is>
      </c>
      <c r="K10" s="27" t="inlineStr">
        <is>
          <t>tests/ui/cart.spec.ts</t>
        </is>
      </c>
      <c r="L10" s="27" t="inlineStr">
        <is>
          <t>@regression</t>
        </is>
      </c>
      <c r="M10" s="27" t="inlineStr">
        <is>
          <t>Not Run</t>
        </is>
      </c>
      <c r="N10" s="27" t="n"/>
    </row>
    <row r="11" ht="23.85" customHeight="1" s="12">
      <c r="A11" s="26" t="inlineStr">
        <is>
          <t>TC-CART-010</t>
        </is>
      </c>
      <c r="B11" s="27" t="inlineStr">
        <is>
          <t>Integration</t>
        </is>
      </c>
      <c r="C11" s="27" t="inlineStr">
        <is>
          <t>Items added via API are rendered in the UI cart</t>
        </is>
      </c>
      <c r="D11" s="27" t="inlineStr">
        <is>
          <t>Functional</t>
        </is>
      </c>
      <c r="E11" s="27" t="inlineStr">
        <is>
          <t>P2</t>
        </is>
      </c>
      <c r="F11" s="27" t="inlineStr">
        <is>
          <t>User logged in</t>
        </is>
      </c>
      <c r="G11" s="27" t="inlineStr">
        <is>
          <t>2 products added via POST /addtocart</t>
        </is>
      </c>
      <c r="H11" s="27" t="inlineStr">
        <is>
          <t>1. Add products through the API
2. Open Cart in the UI</t>
        </is>
      </c>
      <c r="I11" s="27" t="inlineStr">
        <is>
          <t>UI shows both lines; Total = sum of their API prices.</t>
        </is>
      </c>
      <c r="J11" s="27" t="inlineStr">
        <is>
          <t>Automated</t>
        </is>
      </c>
      <c r="K11" s="27" t="inlineStr">
        <is>
          <t>tests/ui/cart.spec.ts</t>
        </is>
      </c>
      <c r="L11" s="27" t="inlineStr">
        <is>
          <t>@regression @hybrid</t>
        </is>
      </c>
      <c r="M11" s="27" t="inlineStr">
        <is>
          <t>Not Run</t>
        </is>
      </c>
      <c r="N11" s="27" t="n"/>
    </row>
    <row r="12" ht="23.85" customHeight="1" s="12">
      <c r="A12" s="26" t="inlineStr">
        <is>
          <t>TC-CART-011</t>
        </is>
      </c>
      <c r="B12" s="27" t="inlineStr">
        <is>
          <t>UI</t>
        </is>
      </c>
      <c r="C12" s="27" t="inlineStr">
        <is>
          <t>Cart line layout</t>
        </is>
      </c>
      <c r="D12" s="27" t="inlineStr">
        <is>
          <t>UI</t>
        </is>
      </c>
      <c r="E12" s="27" t="inlineStr">
        <is>
          <t>P3</t>
        </is>
      </c>
      <c r="F12" s="27" t="inlineStr">
        <is>
          <t>Cart has items</t>
        </is>
      </c>
      <c r="G12" s="27" t="inlineStr">
        <is>
          <t>—</t>
        </is>
      </c>
      <c r="H12" s="27" t="inlineStr">
        <is>
          <t>1. Open Cart
2. Inspect each row</t>
        </is>
      </c>
      <c r="I12" s="27" t="inlineStr">
        <is>
          <t>Each row shows Pic, Title, Price and a 'Delete' link; headers Pic/Title/Price/x.</t>
        </is>
      </c>
      <c r="J12" s="27" t="inlineStr">
        <is>
          <t>Manual</t>
        </is>
      </c>
      <c r="K12" s="27" t="n"/>
      <c r="L12" s="27" t="n"/>
      <c r="M12" s="27" t="inlineStr">
        <is>
          <t>Not Run</t>
        </is>
      </c>
      <c r="N12" s="27" t="n"/>
    </row>
    <row r="13" ht="35.05" customHeight="1" s="12">
      <c r="A13" s="26" t="inlineStr">
        <is>
          <t>TC-CART-012</t>
        </is>
      </c>
      <c r="B13" s="27" t="inlineStr">
        <is>
          <t>Robustness</t>
        </is>
      </c>
      <c r="C13" s="27" t="inlineStr">
        <is>
          <t>Double-click 'Add to cart'</t>
        </is>
      </c>
      <c r="D13" s="27" t="inlineStr">
        <is>
          <t>Edge</t>
        </is>
      </c>
      <c r="E13" s="27" t="inlineStr">
        <is>
          <t>P2</t>
        </is>
      </c>
      <c r="F13" s="27" t="inlineStr">
        <is>
          <t>—</t>
        </is>
      </c>
      <c r="G13" s="27" t="inlineStr">
        <is>
          <t>any product</t>
        </is>
      </c>
      <c r="H13" s="27" t="inlineStr">
        <is>
          <t>1. Open product page
2. Double-click 'Add to cart' quickly
3. Open Cart</t>
        </is>
      </c>
      <c r="I13" s="27" t="inlineStr">
        <is>
          <t>Behaviour is defined: either 1 or 2 lines, matching the number of 'Product added' alerts.</t>
        </is>
      </c>
      <c r="J13" s="27" t="inlineStr">
        <is>
          <t>Candidate</t>
        </is>
      </c>
      <c r="K13" s="27" t="n"/>
      <c r="L13" s="27" t="n"/>
      <c r="M13" s="27" t="inlineStr">
        <is>
          <t>Not Run</t>
        </is>
      </c>
      <c r="N13" s="27" t="n"/>
    </row>
    <row r="14" ht="23.85" customHeight="1" s="12">
      <c r="A14" s="26" t="inlineStr">
        <is>
          <t>TC-CART-013</t>
        </is>
      </c>
      <c r="B14" s="27" t="inlineStr">
        <is>
          <t>Navigation</t>
        </is>
      </c>
      <c r="C14" s="27" t="inlineStr">
        <is>
          <t>Open cart via direct URL</t>
        </is>
      </c>
      <c r="D14" s="27" t="inlineStr">
        <is>
          <t>Functional</t>
        </is>
      </c>
      <c r="E14" s="27" t="inlineStr">
        <is>
          <t>P3</t>
        </is>
      </c>
      <c r="F14" s="27" t="inlineStr">
        <is>
          <t>Cart has items</t>
        </is>
      </c>
      <c r="G14" s="27" t="inlineStr">
        <is>
          <t>/cart.html</t>
        </is>
      </c>
      <c r="H14" s="27" t="inlineStr">
        <is>
          <t>1. Type https://www.demoblaze.com/cart.html in the address bar</t>
        </is>
      </c>
      <c r="I14" s="27" t="inlineStr">
        <is>
          <t>Cart loads with all lines and correct total.</t>
        </is>
      </c>
      <c r="J14" s="27" t="inlineStr">
        <is>
          <t>Manual</t>
        </is>
      </c>
      <c r="K14" s="27" t="n"/>
      <c r="L14" s="27" t="n"/>
      <c r="M14" s="27" t="inlineStr">
        <is>
          <t>Not Run</t>
        </is>
      </c>
      <c r="N14" s="27" t="n"/>
    </row>
    <row r="15" ht="35.05" customHeight="1" s="12">
      <c r="A15" s="26" t="inlineStr">
        <is>
          <t>TC-CART-014</t>
        </is>
      </c>
      <c r="B15" s="27" t="inlineStr">
        <is>
          <t>Negative</t>
        </is>
      </c>
      <c r="C15" s="27" t="inlineStr">
        <is>
          <t>Invalid product id</t>
        </is>
      </c>
      <c r="D15" s="27" t="inlineStr">
        <is>
          <t>Negative</t>
        </is>
      </c>
      <c r="E15" s="27" t="inlineStr">
        <is>
          <t>P3</t>
        </is>
      </c>
      <c r="F15" s="27" t="inlineStr">
        <is>
          <t>—</t>
        </is>
      </c>
      <c r="G15" s="27" t="inlineStr">
        <is>
          <t>prod.html?idp_=99999</t>
        </is>
      </c>
      <c r="H15" s="27" t="inlineStr">
        <is>
          <t>1. Open prod.html?idp_=99999
2. Click 'Add to cart' if shown
3. Open Cart</t>
        </is>
      </c>
      <c r="I15" s="27" t="inlineStr">
        <is>
          <t>Graceful 'not found' handling; no empty/undefined line added to the cart.</t>
        </is>
      </c>
      <c r="J15" s="27" t="inlineStr">
        <is>
          <t>Candidate</t>
        </is>
      </c>
      <c r="K15" s="27" t="n"/>
      <c r="L15" s="27" t="n"/>
      <c r="M15" s="27" t="inlineStr">
        <is>
          <t>Not Run</t>
        </is>
      </c>
      <c r="N15" s="27" t="n"/>
    </row>
    <row r="16" ht="35.05" customHeight="1" s="12">
      <c r="A16" s="26" t="inlineStr">
        <is>
          <t>TC-CART-015</t>
        </is>
      </c>
      <c r="B16" s="27" t="inlineStr">
        <is>
          <t>Negative</t>
        </is>
      </c>
      <c r="C16" s="27" t="inlineStr">
        <is>
          <t>Network failure while adding</t>
        </is>
      </c>
      <c r="D16" s="27" t="inlineStr">
        <is>
          <t>Negative</t>
        </is>
      </c>
      <c r="E16" s="27" t="inlineStr">
        <is>
          <t>P3</t>
        </is>
      </c>
      <c r="F16" s="27" t="inlineStr">
        <is>
          <t>—</t>
        </is>
      </c>
      <c r="G16" s="27" t="inlineStr">
        <is>
          <t>DevTools → Offline</t>
        </is>
      </c>
      <c r="H16" s="27" t="inlineStr">
        <is>
          <t>1. Open product page
2. Go offline
3. Click 'Add to cart'</t>
        </is>
      </c>
      <c r="I16" s="27" t="inlineStr">
        <is>
          <t>User is informed the item was not added; no false 'Product added' alert.</t>
        </is>
      </c>
      <c r="J16" s="27" t="inlineStr">
        <is>
          <t>Manual</t>
        </is>
      </c>
      <c r="K16" s="27" t="n"/>
      <c r="L16" s="27" t="n"/>
      <c r="M16" s="27" t="inlineStr">
        <is>
          <t>Not Run</t>
        </is>
      </c>
      <c r="N16" s="27" t="n"/>
    </row>
    <row r="17" ht="35.05" customHeight="1" s="12">
      <c r="A17" s="26" t="inlineStr">
        <is>
          <t>TC-CART-016</t>
        </is>
      </c>
      <c r="B17" s="27" t="inlineStr">
        <is>
          <t>Guest → login</t>
        </is>
      </c>
      <c r="C17" s="27" t="inlineStr">
        <is>
          <t>Guest cart after logging in</t>
        </is>
      </c>
      <c r="D17" s="27" t="inlineStr">
        <is>
          <t>Edge</t>
        </is>
      </c>
      <c r="E17" s="27" t="inlineStr">
        <is>
          <t>P3</t>
        </is>
      </c>
      <c r="F17" s="27" t="inlineStr">
        <is>
          <t>Guest has items in cart</t>
        </is>
      </c>
      <c r="G17" s="27" t="inlineStr">
        <is>
          <t>—</t>
        </is>
      </c>
      <c r="H17" s="27" t="inlineStr">
        <is>
          <t>1. As guest add an item
2. Log in
3. Open Cart</t>
        </is>
      </c>
      <c r="I17" s="27" t="inlineStr">
        <is>
          <t>Defined behaviour (merge or keep separate) — document actual result.</t>
        </is>
      </c>
      <c r="J17" s="27" t="inlineStr">
        <is>
          <t>Manual</t>
        </is>
      </c>
      <c r="K17" s="27" t="n"/>
      <c r="L17" s="27" t="n"/>
      <c r="M17" s="27" t="inlineStr">
        <is>
          <t>Not Run</t>
        </is>
      </c>
      <c r="N17" s="27" t="n"/>
    </row>
    <row r="18" ht="23.85" customHeight="1" s="12">
      <c r="A18" s="26" t="inlineStr">
        <is>
          <t>TC-CART-017</t>
        </is>
      </c>
      <c r="B18" s="27" t="inlineStr">
        <is>
          <t>Volume</t>
        </is>
      </c>
      <c r="C18" s="27" t="inlineStr">
        <is>
          <t>Large cart (20+ lines)</t>
        </is>
      </c>
      <c r="D18" s="27" t="inlineStr">
        <is>
          <t>Edge</t>
        </is>
      </c>
      <c r="E18" s="27" t="inlineStr">
        <is>
          <t>P3</t>
        </is>
      </c>
      <c r="F18" s="27" t="inlineStr">
        <is>
          <t>User logged in</t>
        </is>
      </c>
      <c r="G18" s="27" t="inlineStr">
        <is>
          <t>20 products</t>
        </is>
      </c>
      <c r="H18" s="27" t="inlineStr">
        <is>
          <t>1. Add 20 items (API seeding)
2. Open Cart</t>
        </is>
      </c>
      <c r="I18" s="27" t="inlineStr">
        <is>
          <t>All lines render; Total correct; page loads within performance budget.</t>
        </is>
      </c>
      <c r="J18" s="27" t="inlineStr">
        <is>
          <t>Candidate</t>
        </is>
      </c>
      <c r="K18" s="27" t="n"/>
      <c r="L18" s="27" t="n"/>
      <c r="M18" s="27" t="inlineStr">
        <is>
          <t>Not Run</t>
        </is>
      </c>
      <c r="N18" s="27" t="n"/>
    </row>
    <row r="19" ht="23.85" customHeight="1" s="12">
      <c r="A19" s="26" t="inlineStr">
        <is>
          <t>TC-CART-018</t>
        </is>
      </c>
      <c r="B19" s="27" t="inlineStr">
        <is>
          <t>Delete</t>
        </is>
      </c>
      <c r="C19" s="27" t="inlineStr">
        <is>
          <t>Deleting one of two identical lines</t>
        </is>
      </c>
      <c r="D19" s="27" t="inlineStr">
        <is>
          <t>Edge</t>
        </is>
      </c>
      <c r="E19" s="27" t="inlineStr">
        <is>
          <t>P3</t>
        </is>
      </c>
      <c r="F19" s="27" t="inlineStr">
        <is>
          <t>Cart has Nexus 6 ×2</t>
        </is>
      </c>
      <c r="G19" s="27" t="inlineStr">
        <is>
          <t>—</t>
        </is>
      </c>
      <c r="H19" s="27" t="inlineStr">
        <is>
          <t>1. Open Cart
2. Delete one Nexus 6 line</t>
        </is>
      </c>
      <c r="I19" s="27" t="inlineStr">
        <is>
          <t>Exactly one Nexus 6 line remains.</t>
        </is>
      </c>
      <c r="J19" s="27" t="inlineStr">
        <is>
          <t>Candidate</t>
        </is>
      </c>
      <c r="K19" s="27" t="n"/>
      <c r="L19" s="27" t="n"/>
      <c r="M19" s="27" t="inlineStr">
        <is>
          <t>Not Run</t>
        </is>
      </c>
      <c r="N19" s="27" t="n"/>
    </row>
    <row r="20" ht="35.05" customHeight="1" s="12">
      <c r="A20" s="26" t="inlineStr">
        <is>
          <t>TC-CART-019</t>
        </is>
      </c>
      <c r="B20" s="27" t="inlineStr">
        <is>
          <t>Consistency</t>
        </is>
      </c>
      <c r="C20" s="27" t="inlineStr">
        <is>
          <t>Cart in two tabs</t>
        </is>
      </c>
      <c r="D20" s="27" t="inlineStr">
        <is>
          <t>Edge</t>
        </is>
      </c>
      <c r="E20" s="27" t="inlineStr">
        <is>
          <t>P3</t>
        </is>
      </c>
      <c r="F20" s="27" t="inlineStr">
        <is>
          <t>User logged in</t>
        </is>
      </c>
      <c r="G20" s="27" t="inlineStr">
        <is>
          <t>—</t>
        </is>
      </c>
      <c r="H20" s="27" t="inlineStr">
        <is>
          <t>1. Open Cart in tabs A and B
2. Delete an item in A
3. Reload B</t>
        </is>
      </c>
      <c r="I20" s="27" t="inlineStr">
        <is>
          <t>B reflects the deletion after reload.</t>
        </is>
      </c>
      <c r="J20" s="27" t="inlineStr">
        <is>
          <t>Manual</t>
        </is>
      </c>
      <c r="K20" s="27" t="n"/>
      <c r="L20" s="27" t="n"/>
      <c r="M20" s="27" t="inlineStr">
        <is>
          <t>Not Run</t>
        </is>
      </c>
      <c r="N20" s="27" t="n"/>
    </row>
    <row r="21" ht="23.85" customHeight="1" s="12">
      <c r="A21" s="26" t="inlineStr">
        <is>
          <t>TC-CART-020</t>
        </is>
      </c>
      <c r="B21" s="27" t="inlineStr">
        <is>
          <t>Guest session</t>
        </is>
      </c>
      <c r="C21" s="27" t="inlineStr">
        <is>
          <t>Guest cart after clearing cookies</t>
        </is>
      </c>
      <c r="D21" s="27" t="inlineStr">
        <is>
          <t>Edge</t>
        </is>
      </c>
      <c r="E21" s="27" t="inlineStr">
        <is>
          <t>P3</t>
        </is>
      </c>
      <c r="F21" s="27" t="inlineStr">
        <is>
          <t>Guest has items</t>
        </is>
      </c>
      <c r="G21" s="27" t="inlineStr">
        <is>
          <t>—</t>
        </is>
      </c>
      <c r="H21" s="27" t="inlineStr">
        <is>
          <t>1. Clear site cookies
2. Open Cart</t>
        </is>
      </c>
      <c r="I21" s="27" t="inlineStr">
        <is>
          <t>Cart is empty (guest cart tied to cookie).</t>
        </is>
      </c>
      <c r="J21" s="27" t="inlineStr">
        <is>
          <t>Manual</t>
        </is>
      </c>
      <c r="K21" s="27" t="n"/>
      <c r="L21" s="27" t="n"/>
      <c r="M21" s="27" t="inlineStr">
        <is>
          <t>Not Run</t>
        </is>
      </c>
      <c r="N21" s="27" t="n"/>
    </row>
    <row r="22" ht="23.85" customHeight="1" s="12">
      <c r="A22" s="26" t="inlineStr">
        <is>
          <t>TC-CART-021</t>
        </is>
      </c>
      <c r="B22" s="27" t="inlineStr">
        <is>
          <t>Compatibility</t>
        </is>
      </c>
      <c r="C22" s="27" t="inlineStr">
        <is>
          <t>Add to cart on all browsers / mobile</t>
        </is>
      </c>
      <c r="D22" s="27" t="inlineStr">
        <is>
          <t>Compatibility</t>
        </is>
      </c>
      <c r="E22" s="27" t="inlineStr">
        <is>
          <t>P2</t>
        </is>
      </c>
      <c r="F22" s="27" t="inlineStr">
        <is>
          <t>—</t>
        </is>
      </c>
      <c r="G22" s="27" t="inlineStr">
        <is>
          <t>—</t>
        </is>
      </c>
      <c r="H22" s="27" t="inlineStr">
        <is>
          <t>1. Run TC-CART-001 and TC-CART-004 on every project</t>
        </is>
      </c>
      <c r="I22" s="27" t="inlineStr">
        <is>
          <t>Same behaviour on Chromium, Firefox, WebKit, Pixel 7, iPhone 14.</t>
        </is>
      </c>
      <c r="J22" s="27" t="inlineStr">
        <is>
          <t>Automated</t>
        </is>
      </c>
      <c r="K22" s="27" t="inlineStr">
        <is>
          <t>playwright.config.ts (projects)</t>
        </is>
      </c>
      <c r="L22" s="27" t="inlineStr">
        <is>
          <t>@smoke</t>
        </is>
      </c>
      <c r="M22" s="27" t="inlineStr">
        <is>
          <t>Not Run</t>
        </is>
      </c>
      <c r="N22" s="27" t="n"/>
    </row>
  </sheetData>
  <autoFilter ref="A1:N22"/>
  <conditionalFormatting sqref="M2:M22">
    <cfRule type="cellIs" rank="0" priority="2" equalAverage="0" operator="equal" aboveAverage="0" dxfId="3" text="" percent="0" bottom="0">
      <formula>"Pass"</formula>
    </cfRule>
    <cfRule type="cellIs" rank="0" priority="3" equalAverage="0" operator="equal" aboveAverage="0" dxfId="4" text="" percent="0" bottom="0">
      <formula>"Fail"</formula>
    </cfRule>
    <cfRule type="cellIs" rank="0" priority="4" equalAverage="0" operator="equal" aboveAverage="0" dxfId="5" text="" percent="0" bottom="0">
      <formula>"Expected Fail"</formula>
    </cfRule>
  </conditionalFormatting>
  <conditionalFormatting sqref="L2:L22">
    <cfRule type="expression" rank="0" priority="5" equalAverage="0" aboveAverage="0" dxfId="5" text="" percent="0" bottom="0">
      <formula>ISNUMBER(SEARCH("@known-bug",L2))</formula>
    </cfRule>
  </conditionalFormatting>
  <dataValidations count="3">
    <dataValidation sqref="M2:M22" showDropDown="0" showInputMessage="0" showErrorMessage="0" allowBlank="1" type="list" errorStyle="stop" operator="between">
      <formula1>"Not Run,Pass,Fail,Blocked,Expected Fail"</formula1>
      <formula2>0</formula2>
    </dataValidation>
    <dataValidation sqref="J2:J22" showDropDown="0" showInputMessage="0" showErrorMessage="0" allowBlank="1" type="list" errorStyle="stop" operator="between">
      <formula1>"Automated,Candidate,Manual"</formula1>
      <formula2>0</formula2>
    </dataValidation>
    <dataValidation sqref="E2:E22" showDropDown="0" showInputMessage="0" showErrorMessage="0" allowBlank="1" type="list" errorStyle="stop" operator="between">
      <formula1>"P1,P2,P3"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11" min="1" max="1"/>
    <col width="18" customWidth="1" style="11" min="2" max="2"/>
    <col width="40" customWidth="1" style="11" min="3" max="3"/>
    <col width="13" customWidth="1" style="11" min="4" max="4"/>
    <col width="9" customWidth="1" style="11" min="5" max="5"/>
    <col width="28" customWidth="1" style="11" min="6" max="7"/>
    <col width="52" customWidth="1" style="11" min="8" max="8"/>
    <col width="48" customWidth="1" style="11" min="9" max="9"/>
    <col width="13" customWidth="1" style="11" min="10" max="10"/>
    <col width="30" customWidth="1" style="11" min="11" max="11"/>
    <col width="18" customWidth="1" style="11" min="12" max="12"/>
    <col width="11" customWidth="1" style="11" min="13" max="13"/>
    <col width="34" customWidth="1" style="11" min="14" max="14"/>
  </cols>
  <sheetData>
    <row r="1" ht="26.85" customHeight="1" s="12">
      <c r="A1" s="18" t="inlineStr">
        <is>
          <t>TC ID</t>
        </is>
      </c>
      <c r="B1" s="18" t="inlineStr">
        <is>
          <t>Scenario</t>
        </is>
      </c>
      <c r="C1" s="18" t="inlineStr">
        <is>
          <t>Title</t>
        </is>
      </c>
      <c r="D1" s="18" t="inlineStr">
        <is>
          <t>Type</t>
        </is>
      </c>
      <c r="E1" s="18" t="inlineStr">
        <is>
          <t>Priority</t>
        </is>
      </c>
      <c r="F1" s="18" t="inlineStr">
        <is>
          <t>Preconditions</t>
        </is>
      </c>
      <c r="G1" s="18" t="inlineStr">
        <is>
          <t>Test Data</t>
        </is>
      </c>
      <c r="H1" s="18" t="inlineStr">
        <is>
          <t>Steps</t>
        </is>
      </c>
      <c r="I1" s="18" t="inlineStr">
        <is>
          <t>Expected Result</t>
        </is>
      </c>
      <c r="J1" s="18" t="inlineStr">
        <is>
          <t>Automation</t>
        </is>
      </c>
      <c r="K1" s="18" t="inlineStr">
        <is>
          <t>Automated In</t>
        </is>
      </c>
      <c r="L1" s="18" t="inlineStr">
        <is>
          <t>Tags</t>
        </is>
      </c>
      <c r="M1" s="18" t="inlineStr">
        <is>
          <t>Status</t>
        </is>
      </c>
      <c r="N1" s="18" t="inlineStr">
        <is>
          <t>Actual Result / Notes</t>
        </is>
      </c>
    </row>
    <row r="2" ht="91" customHeight="1" s="12">
      <c r="A2" s="26" t="inlineStr">
        <is>
          <t>TC-ORDER-001</t>
        </is>
      </c>
      <c r="B2" s="27" t="inlineStr">
        <is>
          <t>E2E (demo)</t>
        </is>
      </c>
      <c r="C2" s="27" t="inlineStr">
        <is>
          <t>Logged-in user adds a product and places an order</t>
        </is>
      </c>
      <c r="D2" s="27" t="inlineStr">
        <is>
          <t>Functional</t>
        </is>
      </c>
      <c r="E2" s="27" t="inlineStr">
        <is>
          <t>P1</t>
        </is>
      </c>
      <c r="F2" s="27" t="inlineStr">
        <is>
          <t>Registered user, empty cart</t>
        </is>
      </c>
      <c r="G2" s="27" t="inlineStr">
        <is>
          <t>Samsung galaxy s6; order form: name, country, city, card 4111111111111111, month, year</t>
        </is>
      </c>
      <c r="H2" s="27" t="inlineStr">
        <is>
          <t>1. Log in with valid credentials
2. Open Samsung galaxy s6, note price
3. Add to cart
4. Open Cart; verify line and total
5. Click 'Place Order'; verify modal total
6. Fill form and click 'Purchase'
7. Verify receipt; click OK
8. Re-open Cart</t>
        </is>
      </c>
      <c r="I2" s="27" t="inlineStr">
        <is>
          <t>Receipt 'Thank you for your purchase!' with numeric Id, Amount = cart total, Name = entered name, card last 4 digits, today's date; OK returns to home; cart is now empty.</t>
        </is>
      </c>
      <c r="J2" s="27" t="inlineStr">
        <is>
          <t>Automated</t>
        </is>
      </c>
      <c r="K2" s="27" t="inlineStr">
        <is>
          <t>tests/ui/checkout.spec.ts</t>
        </is>
      </c>
      <c r="L2" s="27" t="inlineStr">
        <is>
          <t>@smoke @regression @e2e</t>
        </is>
      </c>
      <c r="M2" s="27" t="inlineStr">
        <is>
          <t>Not Run</t>
        </is>
      </c>
      <c r="N2" s="27" t="n"/>
    </row>
    <row r="3" ht="35.05" customHeight="1" s="12">
      <c r="A3" s="26" t="inlineStr">
        <is>
          <t>TC-ORDER-002</t>
        </is>
      </c>
      <c r="B3" s="27" t="inlineStr">
        <is>
          <t>Checkout</t>
        </is>
      </c>
      <c r="C3" s="27" t="inlineStr">
        <is>
          <t>Guest orders several products</t>
        </is>
      </c>
      <c r="D3" s="27" t="inlineStr">
        <is>
          <t>Functional</t>
        </is>
      </c>
      <c r="E3" s="27" t="inlineStr">
        <is>
          <t>P1</t>
        </is>
      </c>
      <c r="F3" s="27" t="inlineStr">
        <is>
          <t>Guest</t>
        </is>
      </c>
      <c r="G3" s="27" t="inlineStr">
        <is>
          <t>Nexus 6 + Apple monitor 24</t>
        </is>
      </c>
      <c r="H3" s="27" t="inlineStr">
        <is>
          <t>1. Add two products as guest
2. Open Cart
3. Place Order with valid data</t>
        </is>
      </c>
      <c r="I3" s="27" t="inlineStr">
        <is>
          <t>Receipt Amount = sum of both prices.</t>
        </is>
      </c>
      <c r="J3" s="27" t="inlineStr">
        <is>
          <t>Automated</t>
        </is>
      </c>
      <c r="K3" s="27" t="inlineStr">
        <is>
          <t>tests/ui/checkout.spec.ts</t>
        </is>
      </c>
      <c r="L3" s="27" t="inlineStr">
        <is>
          <t>@regression</t>
        </is>
      </c>
      <c r="M3" s="27" t="inlineStr">
        <is>
          <t>Not Run</t>
        </is>
      </c>
      <c r="N3" s="27" t="n"/>
    </row>
    <row r="4" ht="35.05" customHeight="1" s="12">
      <c r="A4" s="26" t="inlineStr">
        <is>
          <t>TC-ORDER-003</t>
        </is>
      </c>
      <c r="B4" s="27" t="inlineStr">
        <is>
          <t>Checkout</t>
        </is>
      </c>
      <c r="C4" s="27" t="inlineStr">
        <is>
          <t>Only mandatory fields filled (Name, Credit card)</t>
        </is>
      </c>
      <c r="D4" s="27" t="inlineStr">
        <is>
          <t>Edge</t>
        </is>
      </c>
      <c r="E4" s="27" t="inlineStr">
        <is>
          <t>P2</t>
        </is>
      </c>
      <c r="F4" s="27" t="inlineStr">
        <is>
          <t>Cart has 1 item</t>
        </is>
      </c>
      <c r="G4" s="27" t="inlineStr">
        <is>
          <t>country/city/month/year empty</t>
        </is>
      </c>
      <c r="H4" s="27" t="inlineStr">
        <is>
          <t>1. Open Place Order
2. Fill only Name and Credit card
3. Click 'Purchase'</t>
        </is>
      </c>
      <c r="I4" s="27" t="inlineStr">
        <is>
          <t>Order succeeds; receipt shows the entered name.</t>
        </is>
      </c>
      <c r="J4" s="27" t="inlineStr">
        <is>
          <t>Automated</t>
        </is>
      </c>
      <c r="K4" s="27" t="inlineStr">
        <is>
          <t>tests/ui/checkout.spec.ts</t>
        </is>
      </c>
      <c r="L4" s="27" t="inlineStr">
        <is>
          <t>@regression</t>
        </is>
      </c>
      <c r="M4" s="27" t="inlineStr">
        <is>
          <t>Not Run</t>
        </is>
      </c>
      <c r="N4" s="27" t="n"/>
    </row>
    <row r="5" ht="35.05" customHeight="1" s="12">
      <c r="A5" s="26" t="inlineStr">
        <is>
          <t>TC-ORDER-004</t>
        </is>
      </c>
      <c r="B5" s="27" t="inlineStr">
        <is>
          <t>Validation</t>
        </is>
      </c>
      <c r="C5" s="27" t="inlineStr">
        <is>
          <t>Name empty</t>
        </is>
      </c>
      <c r="D5" s="27" t="inlineStr">
        <is>
          <t>Negative</t>
        </is>
      </c>
      <c r="E5" s="27" t="inlineStr">
        <is>
          <t>P1</t>
        </is>
      </c>
      <c r="F5" s="27" t="inlineStr">
        <is>
          <t>Cart has 1 item</t>
        </is>
      </c>
      <c r="G5" s="27" t="inlineStr">
        <is>
          <t>name=''</t>
        </is>
      </c>
      <c r="H5" s="27" t="inlineStr">
        <is>
          <t>1. Open Place Order
2. Fill everything except Name
3. Click 'Purchase'</t>
        </is>
      </c>
      <c r="I5" s="27" t="inlineStr">
        <is>
          <t>Alert 'Please fill out Name and Creditcard.'; no receipt; cart unchanged.</t>
        </is>
      </c>
      <c r="J5" s="27" t="inlineStr">
        <is>
          <t>Automated</t>
        </is>
      </c>
      <c r="K5" s="27" t="inlineStr">
        <is>
          <t>tests/ui/checkout.spec.ts</t>
        </is>
      </c>
      <c r="L5" s="27" t="inlineStr">
        <is>
          <t>@regression</t>
        </is>
      </c>
      <c r="M5" s="27" t="inlineStr">
        <is>
          <t>Not Run</t>
        </is>
      </c>
      <c r="N5" s="27" t="n"/>
    </row>
    <row r="6" ht="35.05" customHeight="1" s="12">
      <c r="A6" s="26" t="inlineStr">
        <is>
          <t>TC-ORDER-005</t>
        </is>
      </c>
      <c r="B6" s="27" t="inlineStr">
        <is>
          <t>Validation</t>
        </is>
      </c>
      <c r="C6" s="27" t="inlineStr">
        <is>
          <t>Credit card empty</t>
        </is>
      </c>
      <c r="D6" s="27" t="inlineStr">
        <is>
          <t>Negative</t>
        </is>
      </c>
      <c r="E6" s="27" t="inlineStr">
        <is>
          <t>P1</t>
        </is>
      </c>
      <c r="F6" s="27" t="inlineStr">
        <is>
          <t>Cart has 1 item</t>
        </is>
      </c>
      <c r="G6" s="27" t="inlineStr">
        <is>
          <t>card=''</t>
        </is>
      </c>
      <c r="H6" s="27" t="inlineStr">
        <is>
          <t>1. Open Place Order
2. Fill everything except Credit card
3. Click 'Purchase'</t>
        </is>
      </c>
      <c r="I6" s="27" t="inlineStr">
        <is>
          <t>Alert 'Please fill out Name and Creditcard.'; no receipt; cart unchanged.</t>
        </is>
      </c>
      <c r="J6" s="27" t="inlineStr">
        <is>
          <t>Automated</t>
        </is>
      </c>
      <c r="K6" s="27" t="inlineStr">
        <is>
          <t>tests/ui/checkout.spec.ts</t>
        </is>
      </c>
      <c r="L6" s="27" t="inlineStr">
        <is>
          <t>@regression</t>
        </is>
      </c>
      <c r="M6" s="27" t="inlineStr">
        <is>
          <t>Not Run</t>
        </is>
      </c>
      <c r="N6" s="27" t="n"/>
    </row>
    <row r="7" ht="23.85" customHeight="1" s="12">
      <c r="A7" s="26" t="inlineStr">
        <is>
          <t>TC-ORDER-006</t>
        </is>
      </c>
      <c r="B7" s="27" t="inlineStr">
        <is>
          <t>Validation</t>
        </is>
      </c>
      <c r="C7" s="27" t="inlineStr">
        <is>
          <t>All fields empty</t>
        </is>
      </c>
      <c r="D7" s="27" t="inlineStr">
        <is>
          <t>Negative</t>
        </is>
      </c>
      <c r="E7" s="27" t="inlineStr">
        <is>
          <t>P2</t>
        </is>
      </c>
      <c r="F7" s="27" t="inlineStr">
        <is>
          <t>Cart has 1 item</t>
        </is>
      </c>
      <c r="G7" s="27" t="inlineStr">
        <is>
          <t>all empty</t>
        </is>
      </c>
      <c r="H7" s="27" t="inlineStr">
        <is>
          <t>1. Open Place Order
2. Click 'Purchase' without filling anything</t>
        </is>
      </c>
      <c r="I7" s="27" t="inlineStr">
        <is>
          <t>Validation alert; no receipt; cart unchanged.</t>
        </is>
      </c>
      <c r="J7" s="27" t="inlineStr">
        <is>
          <t>Automated</t>
        </is>
      </c>
      <c r="K7" s="27" t="inlineStr">
        <is>
          <t>tests/ui/checkout.spec.ts</t>
        </is>
      </c>
      <c r="L7" s="27" t="inlineStr">
        <is>
          <t>@regression</t>
        </is>
      </c>
      <c r="M7" s="27" t="inlineStr">
        <is>
          <t>Not Run</t>
        </is>
      </c>
      <c r="N7" s="27" t="n"/>
    </row>
    <row r="8" ht="35.05" customHeight="1" s="12">
      <c r="A8" s="26" t="inlineStr">
        <is>
          <t>TC-ORDER-007</t>
        </is>
      </c>
      <c r="B8" s="27" t="inlineStr">
        <is>
          <t>Validation</t>
        </is>
      </c>
      <c r="C8" s="27" t="inlineStr">
        <is>
          <t>Name is whitespace only</t>
        </is>
      </c>
      <c r="D8" s="27" t="inlineStr">
        <is>
          <t>Negative</t>
        </is>
      </c>
      <c r="E8" s="27" t="inlineStr">
        <is>
          <t>P2</t>
        </is>
      </c>
      <c r="F8" s="27" t="inlineStr">
        <is>
          <t>Cart has 1 item</t>
        </is>
      </c>
      <c r="G8" s="27" t="inlineStr">
        <is>
          <t>name='   '</t>
        </is>
      </c>
      <c r="H8" s="27" t="inlineStr">
        <is>
          <t>1. Open Place Order
2. Enter spaces as Name, valid card
3. Click 'Purchase'</t>
        </is>
      </c>
      <c r="I8" s="27" t="inlineStr">
        <is>
          <t>Order is rejected like an empty name.</t>
        </is>
      </c>
      <c r="J8" s="27" t="inlineStr">
        <is>
          <t>Automated</t>
        </is>
      </c>
      <c r="K8" s="27" t="inlineStr">
        <is>
          <t>tests/ui/checkout.spec.ts</t>
        </is>
      </c>
      <c r="L8" s="27" t="inlineStr">
        <is>
          <t>@known-bug</t>
        </is>
      </c>
      <c r="M8" s="27" t="inlineStr">
        <is>
          <t>Not Run</t>
        </is>
      </c>
      <c r="N8" s="27" t="n"/>
    </row>
    <row r="9" ht="23.85" customHeight="1" s="12">
      <c r="A9" s="26" t="inlineStr">
        <is>
          <t>TC-ORDER-008</t>
        </is>
      </c>
      <c r="B9" s="27" t="inlineStr">
        <is>
          <t>Validation</t>
        </is>
      </c>
      <c r="C9" s="27" t="inlineStr">
        <is>
          <t>Validation message text</t>
        </is>
      </c>
      <c r="D9" s="27" t="inlineStr">
        <is>
          <t>UI</t>
        </is>
      </c>
      <c r="E9" s="27" t="inlineStr">
        <is>
          <t>P3</t>
        </is>
      </c>
      <c r="F9" s="27" t="inlineStr">
        <is>
          <t>Cart has 1 item</t>
        </is>
      </c>
      <c r="G9" s="27" t="inlineStr">
        <is>
          <t>name='' card=''</t>
        </is>
      </c>
      <c r="H9" s="27" t="inlineStr">
        <is>
          <t>1. Open Place Order
2. Click 'Purchase'</t>
        </is>
      </c>
      <c r="I9" s="27" t="inlineStr">
        <is>
          <t>Alert text is exactly 'Please fill out Name and Creditcard.'</t>
        </is>
      </c>
      <c r="J9" s="27" t="inlineStr">
        <is>
          <t>Automated</t>
        </is>
      </c>
      <c r="K9" s="27" t="inlineStr">
        <is>
          <t>tests/ui/checkout.spec.ts</t>
        </is>
      </c>
      <c r="L9" s="27" t="inlineStr">
        <is>
          <t>@regression</t>
        </is>
      </c>
      <c r="M9" s="27" t="inlineStr">
        <is>
          <t>Not Run</t>
        </is>
      </c>
      <c r="N9" s="27" t="n"/>
    </row>
    <row r="10" ht="46.25" customHeight="1" s="12">
      <c r="A10" s="26" t="inlineStr">
        <is>
          <t>TC-ORDER-009</t>
        </is>
      </c>
      <c r="B10" s="27" t="inlineStr">
        <is>
          <t>Modal behaviour</t>
        </is>
      </c>
      <c r="C10" s="27" t="inlineStr">
        <is>
          <t>Closing the order form keeps the cart</t>
        </is>
      </c>
      <c r="D10" s="27" t="inlineStr">
        <is>
          <t>Edge</t>
        </is>
      </c>
      <c r="E10" s="27" t="inlineStr">
        <is>
          <t>P2</t>
        </is>
      </c>
      <c r="F10" s="27" t="inlineStr">
        <is>
          <t>Cart has 1 item</t>
        </is>
      </c>
      <c r="G10" s="27" t="inlineStr">
        <is>
          <t>valid data</t>
        </is>
      </c>
      <c r="H10" s="27" t="inlineStr">
        <is>
          <t>1. Open Place Order
2. Fill the form
3. Click 'Close'
4. Reload Cart</t>
        </is>
      </c>
      <c r="I10" s="27" t="inlineStr">
        <is>
          <t>No order placed; cart still has the item.</t>
        </is>
      </c>
      <c r="J10" s="27" t="inlineStr">
        <is>
          <t>Automated</t>
        </is>
      </c>
      <c r="K10" s="27" t="inlineStr">
        <is>
          <t>tests/ui/checkout.spec.ts</t>
        </is>
      </c>
      <c r="L10" s="27" t="inlineStr">
        <is>
          <t>@regression</t>
        </is>
      </c>
      <c r="M10" s="27" t="inlineStr">
        <is>
          <t>Not Run</t>
        </is>
      </c>
      <c r="N10" s="27" t="n"/>
    </row>
    <row r="11" ht="23.85" customHeight="1" s="12">
      <c r="A11" s="26" t="inlineStr">
        <is>
          <t>TC-ORDER-010</t>
        </is>
      </c>
      <c r="B11" s="27" t="inlineStr">
        <is>
          <t>Edge input</t>
        </is>
      </c>
      <c r="C11" s="27" t="inlineStr">
        <is>
          <t>Unicode / special characters in name</t>
        </is>
      </c>
      <c r="D11" s="27" t="inlineStr">
        <is>
          <t>Edge</t>
        </is>
      </c>
      <c r="E11" s="27" t="inlineStr">
        <is>
          <t>P3</t>
        </is>
      </c>
      <c r="F11" s="27" t="inlineStr">
        <is>
          <t>Cart has 1 item</t>
        </is>
      </c>
      <c r="G11" s="27" t="inlineStr">
        <is>
          <t>Nguyễn Văn Ánh &lt;b&gt;&amp;"'</t>
        </is>
      </c>
      <c r="H11" s="27" t="inlineStr">
        <is>
          <t>1. Place an order with the special-character name</t>
        </is>
      </c>
      <c r="I11" s="27" t="inlineStr">
        <is>
          <t>Receipt shows the name exactly as typed; no HTML is rendered/executed.</t>
        </is>
      </c>
      <c r="J11" s="27" t="inlineStr">
        <is>
          <t>Automated</t>
        </is>
      </c>
      <c r="K11" s="27" t="inlineStr">
        <is>
          <t>tests/ui/checkout.spec.ts</t>
        </is>
      </c>
      <c r="L11" s="27" t="inlineStr">
        <is>
          <t>@regression</t>
        </is>
      </c>
      <c r="M11" s="27" t="inlineStr">
        <is>
          <t>Not Run</t>
        </is>
      </c>
      <c r="N11" s="27" t="n"/>
    </row>
    <row r="12" ht="23.85" customHeight="1" s="12">
      <c r="A12" s="26" t="inlineStr">
        <is>
          <t>TC-ORDER-011</t>
        </is>
      </c>
      <c r="B12" s="27" t="inlineStr">
        <is>
          <t>Receipt</t>
        </is>
      </c>
      <c r="C12" s="27" t="inlineStr">
        <is>
          <t>Receipt date shows the current month</t>
        </is>
      </c>
      <c r="D12" s="27" t="inlineStr">
        <is>
          <t>Functional</t>
        </is>
      </c>
      <c r="E12" s="27" t="inlineStr">
        <is>
          <t>P2</t>
        </is>
      </c>
      <c r="F12" s="27" t="inlineStr">
        <is>
          <t>Cart has 1 item</t>
        </is>
      </c>
      <c r="G12" s="27" t="inlineStr">
        <is>
          <t>—</t>
        </is>
      </c>
      <c r="H12" s="27" t="inlineStr">
        <is>
          <t>1. Place an order
2. Read 'Date' on the receipt</t>
        </is>
      </c>
      <c r="I12" s="27" t="inlineStr">
        <is>
          <t>Date = today's day/month/year.</t>
        </is>
      </c>
      <c r="J12" s="27" t="inlineStr">
        <is>
          <t>Automated</t>
        </is>
      </c>
      <c r="K12" s="27" t="inlineStr">
        <is>
          <t>tests/ui/checkout.spec.ts</t>
        </is>
      </c>
      <c r="L12" s="27" t="inlineStr">
        <is>
          <t>@known-bug</t>
        </is>
      </c>
      <c r="M12" s="27" t="inlineStr">
        <is>
          <t>Not Run</t>
        </is>
      </c>
      <c r="N12" s="27" t="n"/>
    </row>
    <row r="13" ht="35.05" customHeight="1" s="12">
      <c r="A13" s="26" t="inlineStr">
        <is>
          <t>TC-ORDER-012</t>
        </is>
      </c>
      <c r="B13" s="27" t="inlineStr">
        <is>
          <t>Negative</t>
        </is>
      </c>
      <c r="C13" s="27" t="inlineStr">
        <is>
          <t>Order with an empty cart</t>
        </is>
      </c>
      <c r="D13" s="27" t="inlineStr">
        <is>
          <t>Negative</t>
        </is>
      </c>
      <c r="E13" s="27" t="inlineStr">
        <is>
          <t>P1</t>
        </is>
      </c>
      <c r="F13" s="27" t="inlineStr">
        <is>
          <t>Empty cart</t>
        </is>
      </c>
      <c r="G13" s="27" t="inlineStr">
        <is>
          <t>valid form data</t>
        </is>
      </c>
      <c r="H13" s="27" t="inlineStr">
        <is>
          <t>1. Open empty Cart
2. Click 'Place Order'
3. Fill valid data, click 'Purchase'</t>
        </is>
      </c>
      <c r="I13" s="27" t="inlineStr">
        <is>
          <t>Order is blocked (nothing to buy).</t>
        </is>
      </c>
      <c r="J13" s="27" t="inlineStr">
        <is>
          <t>Automated</t>
        </is>
      </c>
      <c r="K13" s="27" t="inlineStr">
        <is>
          <t>tests/ui/checkout.spec.ts</t>
        </is>
      </c>
      <c r="L13" s="27" t="inlineStr">
        <is>
          <t>@known-bug</t>
        </is>
      </c>
      <c r="M13" s="27" t="inlineStr">
        <is>
          <t>Not Run</t>
        </is>
      </c>
      <c r="N13" s="27" t="n"/>
    </row>
    <row r="14" ht="15" customHeight="1" s="12">
      <c r="A14" s="26" t="inlineStr">
        <is>
          <t>TC-ORDER-013</t>
        </is>
      </c>
      <c r="B14" s="27" t="inlineStr">
        <is>
          <t>Validation</t>
        </is>
      </c>
      <c r="C14" s="27" t="inlineStr">
        <is>
          <t>Credit card must be numeric</t>
        </is>
      </c>
      <c r="D14" s="27" t="inlineStr">
        <is>
          <t>Negative</t>
        </is>
      </c>
      <c r="E14" s="27" t="inlineStr">
        <is>
          <t>P2</t>
        </is>
      </c>
      <c r="F14" s="27" t="inlineStr">
        <is>
          <t>Cart has 1 item</t>
        </is>
      </c>
      <c r="G14" s="27" t="inlineStr">
        <is>
          <t>card='not-a-card'</t>
        </is>
      </c>
      <c r="H14" s="27" t="inlineStr">
        <is>
          <t>1. Place an order with a non-numeric card</t>
        </is>
      </c>
      <c r="I14" s="27" t="inlineStr">
        <is>
          <t>Validation error; order not placed.</t>
        </is>
      </c>
      <c r="J14" s="27" t="inlineStr">
        <is>
          <t>Automated</t>
        </is>
      </c>
      <c r="K14" s="27" t="inlineStr">
        <is>
          <t>tests/ui/checkout.spec.ts</t>
        </is>
      </c>
      <c r="L14" s="27" t="inlineStr">
        <is>
          <t>@known-bug</t>
        </is>
      </c>
      <c r="M14" s="27" t="inlineStr">
        <is>
          <t>Not Run</t>
        </is>
      </c>
      <c r="N14" s="27" t="n"/>
    </row>
    <row r="15" ht="23.85" customHeight="1" s="12">
      <c r="A15" s="26" t="inlineStr">
        <is>
          <t>TC-ORDER-014</t>
        </is>
      </c>
      <c r="B15" s="27" t="inlineStr">
        <is>
          <t>Security</t>
        </is>
      </c>
      <c r="C15" s="27" t="inlineStr">
        <is>
          <t>Receipt masks the card number</t>
        </is>
      </c>
      <c r="D15" s="27" t="inlineStr">
        <is>
          <t>Security</t>
        </is>
      </c>
      <c r="E15" s="27" t="inlineStr">
        <is>
          <t>P2</t>
        </is>
      </c>
      <c r="F15" s="27" t="inlineStr">
        <is>
          <t>Cart has 1 item</t>
        </is>
      </c>
      <c r="G15" s="27" t="inlineStr">
        <is>
          <t>card 4111111111111111</t>
        </is>
      </c>
      <c r="H15" s="27" t="inlineStr">
        <is>
          <t>1. Place an order
2. Inspect 'Card Number' on the receipt</t>
        </is>
      </c>
      <c r="I15" s="27" t="inlineStr">
        <is>
          <t>Only the last 4 digits are shown (e.g. **** 1111).</t>
        </is>
      </c>
      <c r="J15" s="27" t="inlineStr">
        <is>
          <t>Automated</t>
        </is>
      </c>
      <c r="K15" s="27" t="inlineStr">
        <is>
          <t>tests/ui/checkout.spec.ts</t>
        </is>
      </c>
      <c r="L15" s="27" t="inlineStr">
        <is>
          <t>@known-bug</t>
        </is>
      </c>
      <c r="M15" s="27" t="inlineStr">
        <is>
          <t>Not Run</t>
        </is>
      </c>
      <c r="N15" s="27" t="n"/>
    </row>
    <row r="16" ht="23.85" customHeight="1" s="12">
      <c r="A16" s="26" t="inlineStr">
        <is>
          <t>TC-ORDER-015</t>
        </is>
      </c>
      <c r="B16" s="27" t="inlineStr">
        <is>
          <t>Validation</t>
        </is>
      </c>
      <c r="C16" s="27" t="inlineStr">
        <is>
          <t>Invalid month / year values</t>
        </is>
      </c>
      <c r="D16" s="27" t="inlineStr">
        <is>
          <t>Negative</t>
        </is>
      </c>
      <c r="E16" s="27" t="inlineStr">
        <is>
          <t>P3</t>
        </is>
      </c>
      <c r="F16" s="27" t="inlineStr">
        <is>
          <t>Cart has 1 item</t>
        </is>
      </c>
      <c r="G16" s="27" t="inlineStr">
        <is>
          <t>month=13, year=1999</t>
        </is>
      </c>
      <c r="H16" s="27" t="inlineStr">
        <is>
          <t>1. Enter invalid month and a past year
2. Click 'Purchase'</t>
        </is>
      </c>
      <c r="I16" s="27" t="inlineStr">
        <is>
          <t>Validation error for expiry date.</t>
        </is>
      </c>
      <c r="J16" s="27" t="inlineStr">
        <is>
          <t>Candidate</t>
        </is>
      </c>
      <c r="K16" s="27" t="n"/>
      <c r="L16" s="27" t="n"/>
      <c r="M16" s="27" t="inlineStr">
        <is>
          <t>Not Run</t>
        </is>
      </c>
      <c r="N16" s="27" t="n"/>
    </row>
    <row r="17" ht="23.85" customHeight="1" s="12">
      <c r="A17" s="26" t="inlineStr">
        <is>
          <t>TC-ORDER-016</t>
        </is>
      </c>
      <c r="B17" s="27" t="inlineStr">
        <is>
          <t>Robustness</t>
        </is>
      </c>
      <c r="C17" s="27" t="inlineStr">
        <is>
          <t>Double-click 'Purchase'</t>
        </is>
      </c>
      <c r="D17" s="27" t="inlineStr">
        <is>
          <t>Edge</t>
        </is>
      </c>
      <c r="E17" s="27" t="inlineStr">
        <is>
          <t>P3</t>
        </is>
      </c>
      <c r="F17" s="27" t="inlineStr">
        <is>
          <t>Cart has 1 item</t>
        </is>
      </c>
      <c r="G17" s="27" t="inlineStr">
        <is>
          <t>valid data</t>
        </is>
      </c>
      <c r="H17" s="27" t="inlineStr">
        <is>
          <t>1. Fill valid data
2. Double-click 'Purchase'</t>
        </is>
      </c>
      <c r="I17" s="27" t="inlineStr">
        <is>
          <t>Only one order/receipt is created.</t>
        </is>
      </c>
      <c r="J17" s="27" t="inlineStr">
        <is>
          <t>Manual</t>
        </is>
      </c>
      <c r="K17" s="27" t="n"/>
      <c r="L17" s="27" t="n"/>
      <c r="M17" s="27" t="inlineStr">
        <is>
          <t>Not Run</t>
        </is>
      </c>
      <c r="N17" s="27" t="n"/>
    </row>
    <row r="18" ht="23.85" customHeight="1" s="12">
      <c r="A18" s="26" t="inlineStr">
        <is>
          <t>TC-ORDER-017</t>
        </is>
      </c>
      <c r="B18" s="27" t="inlineStr">
        <is>
          <t>Edge input</t>
        </is>
      </c>
      <c r="C18" s="27" t="inlineStr">
        <is>
          <t>Very long input values</t>
        </is>
      </c>
      <c r="D18" s="27" t="inlineStr">
        <is>
          <t>Edge</t>
        </is>
      </c>
      <c r="E18" s="27" t="inlineStr">
        <is>
          <t>P3</t>
        </is>
      </c>
      <c r="F18" s="27" t="inlineStr">
        <is>
          <t>Cart has 1 item</t>
        </is>
      </c>
      <c r="G18" s="27" t="inlineStr">
        <is>
          <t>300-char name, 50-digit card</t>
        </is>
      </c>
      <c r="H18" s="27" t="inlineStr">
        <is>
          <t>1. Fill the form with very long values
2. Click 'Purchase'</t>
        </is>
      </c>
      <c r="I18" s="27" t="inlineStr">
        <is>
          <t>Handled gracefully: validation or truncation, receipt layout not broken.</t>
        </is>
      </c>
      <c r="J18" s="27" t="inlineStr">
        <is>
          <t>Candidate</t>
        </is>
      </c>
      <c r="K18" s="27" t="n"/>
      <c r="L18" s="27" t="n"/>
      <c r="M18" s="27" t="inlineStr">
        <is>
          <t>Not Run</t>
        </is>
      </c>
      <c r="N18" s="27" t="n"/>
    </row>
  </sheetData>
  <autoFilter ref="A1:N18"/>
  <conditionalFormatting sqref="M2:M18">
    <cfRule type="cellIs" rank="0" priority="2" equalAverage="0" operator="equal" aboveAverage="0" dxfId="3" text="" percent="0" bottom="0">
      <formula>"Pass"</formula>
    </cfRule>
    <cfRule type="cellIs" rank="0" priority="3" equalAverage="0" operator="equal" aboveAverage="0" dxfId="4" text="" percent="0" bottom="0">
      <formula>"Fail"</formula>
    </cfRule>
    <cfRule type="cellIs" rank="0" priority="4" equalAverage="0" operator="equal" aboveAverage="0" dxfId="5" text="" percent="0" bottom="0">
      <formula>"Expected Fail"</formula>
    </cfRule>
  </conditionalFormatting>
  <conditionalFormatting sqref="L2:L18">
    <cfRule type="expression" rank="0" priority="5" equalAverage="0" aboveAverage="0" dxfId="5" text="" percent="0" bottom="0">
      <formula>ISNUMBER(SEARCH("@known-bug",L2))</formula>
    </cfRule>
  </conditionalFormatting>
  <dataValidations count="3">
    <dataValidation sqref="M2:M18" showDropDown="0" showInputMessage="0" showErrorMessage="0" allowBlank="1" type="list" errorStyle="stop" operator="between">
      <formula1>"Not Run,Pass,Fail,Blocked,Expected Fail"</formula1>
      <formula2>0</formula2>
    </dataValidation>
    <dataValidation sqref="J2:J18" showDropDown="0" showInputMessage="0" showErrorMessage="0" allowBlank="1" type="list" errorStyle="stop" operator="between">
      <formula1>"Automated,Candidate,Manual"</formula1>
      <formula2>0</formula2>
    </dataValidation>
    <dataValidation sqref="E2:E18" showDropDown="0" showInputMessage="0" showErrorMessage="0" allowBlank="1" type="list" errorStyle="stop" operator="between">
      <formula1>"P1,P2,P3"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11" min="1" max="1"/>
    <col width="18" customWidth="1" style="11" min="2" max="2"/>
    <col width="40" customWidth="1" style="11" min="3" max="3"/>
    <col width="13" customWidth="1" style="11" min="4" max="4"/>
    <col width="9" customWidth="1" style="11" min="5" max="5"/>
    <col width="28" customWidth="1" style="11" min="6" max="7"/>
    <col width="52" customWidth="1" style="11" min="8" max="8"/>
    <col width="48" customWidth="1" style="11" min="9" max="9"/>
    <col width="13" customWidth="1" style="11" min="10" max="10"/>
    <col width="30" customWidth="1" style="11" min="11" max="11"/>
    <col width="18" customWidth="1" style="11" min="12" max="12"/>
    <col width="11" customWidth="1" style="11" min="13" max="13"/>
    <col width="34" customWidth="1" style="11" min="14" max="14"/>
  </cols>
  <sheetData>
    <row r="1" ht="26.85" customHeight="1" s="12">
      <c r="A1" s="18" t="inlineStr">
        <is>
          <t>TC ID</t>
        </is>
      </c>
      <c r="B1" s="18" t="inlineStr">
        <is>
          <t>Scenario</t>
        </is>
      </c>
      <c r="C1" s="18" t="inlineStr">
        <is>
          <t>Title</t>
        </is>
      </c>
      <c r="D1" s="18" t="inlineStr">
        <is>
          <t>Type</t>
        </is>
      </c>
      <c r="E1" s="18" t="inlineStr">
        <is>
          <t>Priority</t>
        </is>
      </c>
      <c r="F1" s="18" t="inlineStr">
        <is>
          <t>Preconditions</t>
        </is>
      </c>
      <c r="G1" s="18" t="inlineStr">
        <is>
          <t>Test Data</t>
        </is>
      </c>
      <c r="H1" s="18" t="inlineStr">
        <is>
          <t>Steps</t>
        </is>
      </c>
      <c r="I1" s="18" t="inlineStr">
        <is>
          <t>Expected Result</t>
        </is>
      </c>
      <c r="J1" s="18" t="inlineStr">
        <is>
          <t>Automation</t>
        </is>
      </c>
      <c r="K1" s="18" t="inlineStr">
        <is>
          <t>Automated In</t>
        </is>
      </c>
      <c r="L1" s="18" t="inlineStr">
        <is>
          <t>Tags</t>
        </is>
      </c>
      <c r="M1" s="18" t="inlineStr">
        <is>
          <t>Status</t>
        </is>
      </c>
      <c r="N1" s="18" t="inlineStr">
        <is>
          <t>Actual Result / Notes</t>
        </is>
      </c>
    </row>
    <row r="2" ht="23.85" customHeight="1" s="12">
      <c r="A2" s="26" t="inlineStr">
        <is>
          <t>TC-API-001</t>
        </is>
      </c>
      <c r="B2" s="27" t="inlineStr">
        <is>
          <t>Auth API</t>
        </is>
      </c>
      <c r="C2" s="27" t="inlineStr">
        <is>
          <t>Sign up then log in returns an auth token</t>
        </is>
      </c>
      <c r="D2" s="27" t="inlineStr">
        <is>
          <t>Functional</t>
        </is>
      </c>
      <c r="E2" s="27" t="inlineStr">
        <is>
          <t>P1</t>
        </is>
      </c>
      <c r="F2" s="27" t="inlineStr">
        <is>
          <t>—</t>
        </is>
      </c>
      <c r="G2" s="27" t="inlineStr">
        <is>
          <t>new unique user</t>
        </is>
      </c>
      <c r="H2" s="27" t="inlineStr">
        <is>
          <t>1. POST /signup
2. POST /login</t>
        </is>
      </c>
      <c r="I2" s="27" t="inlineStr">
        <is>
          <t>Signup has no errorMessage; login returns 'Auth_token: &lt;token&gt;'.</t>
        </is>
      </c>
      <c r="J2" s="27" t="inlineStr">
        <is>
          <t>Automated</t>
        </is>
      </c>
      <c r="K2" s="27" t="inlineStr">
        <is>
          <t>tests/api/auth.api.spec.ts</t>
        </is>
      </c>
      <c r="L2" s="27" t="inlineStr">
        <is>
          <t>@api @smoke</t>
        </is>
      </c>
      <c r="M2" s="27" t="inlineStr">
        <is>
          <t>Not Run</t>
        </is>
      </c>
      <c r="N2" s="27" t="n"/>
    </row>
    <row r="3" ht="35.05" customHeight="1" s="12">
      <c r="A3" s="26" t="inlineStr">
        <is>
          <t>TC-API-002</t>
        </is>
      </c>
      <c r="B3" s="27" t="inlineStr">
        <is>
          <t>Auth API</t>
        </is>
      </c>
      <c r="C3" s="27" t="inlineStr">
        <is>
          <t>Duplicate sign-up is rejected</t>
        </is>
      </c>
      <c r="D3" s="27" t="inlineStr">
        <is>
          <t>Negative</t>
        </is>
      </c>
      <c r="E3" s="27" t="inlineStr">
        <is>
          <t>P2</t>
        </is>
      </c>
      <c r="F3" s="27" t="inlineStr">
        <is>
          <t>A registered user exists (auto-provisioned via API by the framework)</t>
        </is>
      </c>
      <c r="G3" s="27" t="inlineStr">
        <is>
          <t>existing username</t>
        </is>
      </c>
      <c r="H3" s="27" t="inlineStr">
        <is>
          <t>1. POST /signup with an existing username</t>
        </is>
      </c>
      <c r="I3" s="27" t="inlineStr">
        <is>
          <t>errorMessage 'This user already exist.'</t>
        </is>
      </c>
      <c r="J3" s="27" t="inlineStr">
        <is>
          <t>Automated</t>
        </is>
      </c>
      <c r="K3" s="27" t="inlineStr">
        <is>
          <t>tests/api/auth.api.spec.ts</t>
        </is>
      </c>
      <c r="L3" s="27" t="inlineStr">
        <is>
          <t>@api</t>
        </is>
      </c>
      <c r="M3" s="27" t="inlineStr">
        <is>
          <t>Not Run</t>
        </is>
      </c>
      <c r="N3" s="27" t="n"/>
    </row>
    <row r="4" ht="35.05" customHeight="1" s="12">
      <c r="A4" s="26" t="inlineStr">
        <is>
          <t>TC-API-003</t>
        </is>
      </c>
      <c r="B4" s="27" t="inlineStr">
        <is>
          <t>Auth API</t>
        </is>
      </c>
      <c r="C4" s="27" t="inlineStr">
        <is>
          <t>Wrong password</t>
        </is>
      </c>
      <c r="D4" s="27" t="inlineStr">
        <is>
          <t>Negative</t>
        </is>
      </c>
      <c r="E4" s="27" t="inlineStr">
        <is>
          <t>P1</t>
        </is>
      </c>
      <c r="F4" s="27" t="inlineStr">
        <is>
          <t>A registered user exists (auto-provisioned via API by the framework)</t>
        </is>
      </c>
      <c r="G4" s="27" t="inlineStr">
        <is>
          <t>wrong password</t>
        </is>
      </c>
      <c r="H4" s="27" t="inlineStr">
        <is>
          <t>1. POST /login with wrong password</t>
        </is>
      </c>
      <c r="I4" s="27" t="inlineStr">
        <is>
          <t>errorMessage 'Wrong password.'</t>
        </is>
      </c>
      <c r="J4" s="27" t="inlineStr">
        <is>
          <t>Automated</t>
        </is>
      </c>
      <c r="K4" s="27" t="inlineStr">
        <is>
          <t>tests/api/auth.api.spec.ts</t>
        </is>
      </c>
      <c r="L4" s="27" t="inlineStr">
        <is>
          <t>@api</t>
        </is>
      </c>
      <c r="M4" s="27" t="inlineStr">
        <is>
          <t>Not Run</t>
        </is>
      </c>
      <c r="N4" s="27" t="n"/>
    </row>
    <row r="5" ht="15" customHeight="1" s="12">
      <c r="A5" s="26" t="inlineStr">
        <is>
          <t>TC-API-004</t>
        </is>
      </c>
      <c r="B5" s="27" t="inlineStr">
        <is>
          <t>Auth API</t>
        </is>
      </c>
      <c r="C5" s="27" t="inlineStr">
        <is>
          <t>Unknown user</t>
        </is>
      </c>
      <c r="D5" s="27" t="inlineStr">
        <is>
          <t>Negative</t>
        </is>
      </c>
      <c r="E5" s="27" t="inlineStr">
        <is>
          <t>P2</t>
        </is>
      </c>
      <c r="F5" s="27" t="inlineStr">
        <is>
          <t>—</t>
        </is>
      </c>
      <c r="G5" s="27" t="inlineStr">
        <is>
          <t>random username</t>
        </is>
      </c>
      <c r="H5" s="27" t="inlineStr">
        <is>
          <t>1. POST /login</t>
        </is>
      </c>
      <c r="I5" s="27" t="inlineStr">
        <is>
          <t>errorMessage 'User does not exist.'</t>
        </is>
      </c>
      <c r="J5" s="27" t="inlineStr">
        <is>
          <t>Automated</t>
        </is>
      </c>
      <c r="K5" s="27" t="inlineStr">
        <is>
          <t>tests/api/auth.api.spec.ts</t>
        </is>
      </c>
      <c r="L5" s="27" t="inlineStr">
        <is>
          <t>@api</t>
        </is>
      </c>
      <c r="M5" s="27" t="inlineStr">
        <is>
          <t>Not Run</t>
        </is>
      </c>
      <c r="N5" s="27" t="n"/>
    </row>
    <row r="6" ht="23.85" customHeight="1" s="12">
      <c r="A6" s="26" t="inlineStr">
        <is>
          <t>TC-API-005</t>
        </is>
      </c>
      <c r="B6" s="27" t="inlineStr">
        <is>
          <t>Catalog API</t>
        </is>
      </c>
      <c r="C6" s="27" t="inlineStr">
        <is>
          <t>/entries contract</t>
        </is>
      </c>
      <c r="D6" s="27" t="inlineStr">
        <is>
          <t>Functional</t>
        </is>
      </c>
      <c r="E6" s="27" t="inlineStr">
        <is>
          <t>P1</t>
        </is>
      </c>
      <c r="F6" s="27" t="inlineStr">
        <is>
          <t>—</t>
        </is>
      </c>
      <c r="G6" s="27" t="inlineStr">
        <is>
          <t>—</t>
        </is>
      </c>
      <c r="H6" s="27" t="inlineStr">
        <is>
          <t>1. GET /entries</t>
        </is>
      </c>
      <c r="I6" s="27" t="inlineStr">
        <is>
          <t>200; Items[] non-empty; each has id, title, price&gt;0, cat∈{phone,notebook,monitor}, desc, img.</t>
        </is>
      </c>
      <c r="J6" s="27" t="inlineStr">
        <is>
          <t>Automated</t>
        </is>
      </c>
      <c r="K6" s="27" t="inlineStr">
        <is>
          <t>tests/api/catalog-cart.api.spec.ts</t>
        </is>
      </c>
      <c r="L6" s="27" t="inlineStr">
        <is>
          <t>@api @smoke</t>
        </is>
      </c>
      <c r="M6" s="27" t="inlineStr">
        <is>
          <t>Not Run</t>
        </is>
      </c>
      <c r="N6" s="27" t="n"/>
    </row>
    <row r="7" ht="15" customHeight="1" s="12">
      <c r="A7" s="26" t="inlineStr">
        <is>
          <t>TC-API-006</t>
        </is>
      </c>
      <c r="B7" s="27" t="inlineStr">
        <is>
          <t>Catalog API</t>
        </is>
      </c>
      <c r="C7" s="27" t="inlineStr">
        <is>
          <t>/view returns the requested product</t>
        </is>
      </c>
      <c r="D7" s="27" t="inlineStr">
        <is>
          <t>Functional</t>
        </is>
      </c>
      <c r="E7" s="27" t="inlineStr">
        <is>
          <t>P2</t>
        </is>
      </c>
      <c r="F7" s="27" t="inlineStr">
        <is>
          <t>—</t>
        </is>
      </c>
      <c r="G7" s="27" t="inlineStr">
        <is>
          <t>id=1</t>
        </is>
      </c>
      <c r="H7" s="27" t="inlineStr">
        <is>
          <t>1. POST /view {id:1}</t>
        </is>
      </c>
      <c r="I7" s="27" t="inlineStr">
        <is>
          <t>Title 'Samsung galaxy s6' and valid contract.</t>
        </is>
      </c>
      <c r="J7" s="27" t="inlineStr">
        <is>
          <t>Automated</t>
        </is>
      </c>
      <c r="K7" s="27" t="inlineStr">
        <is>
          <t>tests/api/catalog-cart.api.spec.ts</t>
        </is>
      </c>
      <c r="L7" s="27" t="inlineStr">
        <is>
          <t>@api</t>
        </is>
      </c>
      <c r="M7" s="27" t="inlineStr">
        <is>
          <t>Not Run</t>
        </is>
      </c>
      <c r="N7" s="27" t="n"/>
    </row>
    <row r="8" ht="15" customHeight="1" s="12">
      <c r="A8" s="26" t="inlineStr">
        <is>
          <t>TC-API-007</t>
        </is>
      </c>
      <c r="B8" s="27" t="inlineStr">
        <is>
          <t>Catalog API</t>
        </is>
      </c>
      <c r="C8" s="27" t="inlineStr">
        <is>
          <t>/bycat filters by category</t>
        </is>
      </c>
      <c r="D8" s="27" t="inlineStr">
        <is>
          <t>Functional</t>
        </is>
      </c>
      <c r="E8" s="27" t="inlineStr">
        <is>
          <t>P2</t>
        </is>
      </c>
      <c r="F8" s="27" t="inlineStr">
        <is>
          <t>—</t>
        </is>
      </c>
      <c r="G8" s="27" t="inlineStr">
        <is>
          <t>cat=phone</t>
        </is>
      </c>
      <c r="H8" s="27" t="inlineStr">
        <is>
          <t>1. POST /bycat {cat:'phone'}</t>
        </is>
      </c>
      <c r="I8" s="27" t="inlineStr">
        <is>
          <t>All items have cat='phone'.</t>
        </is>
      </c>
      <c r="J8" s="27" t="inlineStr">
        <is>
          <t>Automated</t>
        </is>
      </c>
      <c r="K8" s="27" t="inlineStr">
        <is>
          <t>tests/api/catalog-cart.api.spec.ts</t>
        </is>
      </c>
      <c r="L8" s="27" t="inlineStr">
        <is>
          <t>@api</t>
        </is>
      </c>
      <c r="M8" s="27" t="inlineStr">
        <is>
          <t>Not Run</t>
        </is>
      </c>
      <c r="N8" s="27" t="n"/>
    </row>
    <row r="9" ht="46.25" customHeight="1" s="12">
      <c r="A9" s="26" t="inlineStr">
        <is>
          <t>TC-API-008</t>
        </is>
      </c>
      <c r="B9" s="27" t="inlineStr">
        <is>
          <t>Cart API</t>
        </is>
      </c>
      <c r="C9" s="27" t="inlineStr">
        <is>
          <t>Add, view and delete a cart line</t>
        </is>
      </c>
      <c r="D9" s="27" t="inlineStr">
        <is>
          <t>Functional</t>
        </is>
      </c>
      <c r="E9" s="27" t="inlineStr">
        <is>
          <t>P1</t>
        </is>
      </c>
      <c r="F9" s="27" t="inlineStr">
        <is>
          <t>Logged-in token, empty cart</t>
        </is>
      </c>
      <c r="G9" s="27" t="inlineStr">
        <is>
          <t>Nexus 6</t>
        </is>
      </c>
      <c r="H9" s="27" t="inlineStr">
        <is>
          <t>1. POST /addtocart
2. POST /viewcart
3. POST /deleteitem
4. POST /viewcart</t>
        </is>
      </c>
      <c r="I9" s="27" t="inlineStr">
        <is>
          <t>Line present after add, gone after delete.</t>
        </is>
      </c>
      <c r="J9" s="27" t="inlineStr">
        <is>
          <t>Automated</t>
        </is>
      </c>
      <c r="K9" s="27" t="inlineStr">
        <is>
          <t>tests/api/catalog-cart.api.spec.ts</t>
        </is>
      </c>
      <c r="L9" s="27" t="inlineStr">
        <is>
          <t>@api @smoke</t>
        </is>
      </c>
      <c r="M9" s="27" t="inlineStr">
        <is>
          <t>Not Run</t>
        </is>
      </c>
      <c r="N9" s="27" t="n"/>
    </row>
    <row r="10" ht="23.85" customHeight="1" s="12">
      <c r="A10" s="26" t="inlineStr">
        <is>
          <t>TC-API-009</t>
        </is>
      </c>
      <c r="B10" s="27" t="inlineStr">
        <is>
          <t>Cart API</t>
        </is>
      </c>
      <c r="C10" s="27" t="inlineStr">
        <is>
          <t>Each add creates a separate line</t>
        </is>
      </c>
      <c r="D10" s="27" t="inlineStr">
        <is>
          <t>Edge</t>
        </is>
      </c>
      <c r="E10" s="27" t="inlineStr">
        <is>
          <t>P2</t>
        </is>
      </c>
      <c r="F10" s="27" t="inlineStr">
        <is>
          <t>Logged-in token, empty cart</t>
        </is>
      </c>
      <c r="G10" s="27" t="inlineStr">
        <is>
          <t>Nexus 6 ×2</t>
        </is>
      </c>
      <c r="H10" s="27" t="inlineStr">
        <is>
          <t>1. POST /addtocart twice
2. POST /viewcart</t>
        </is>
      </c>
      <c r="I10" s="27" t="inlineStr">
        <is>
          <t>2 lines with distinct ids.</t>
        </is>
      </c>
      <c r="J10" s="27" t="inlineStr">
        <is>
          <t>Automated</t>
        </is>
      </c>
      <c r="K10" s="27" t="inlineStr">
        <is>
          <t>tests/api/catalog-cart.api.spec.ts</t>
        </is>
      </c>
      <c r="L10" s="27" t="inlineStr">
        <is>
          <t>@api</t>
        </is>
      </c>
      <c r="M10" s="27" t="inlineStr">
        <is>
          <t>Not Run</t>
        </is>
      </c>
      <c r="N10" s="27" t="n"/>
    </row>
    <row r="11" ht="35.05" customHeight="1" s="12">
      <c r="A11" s="26" t="inlineStr">
        <is>
          <t>TC-PERF-001</t>
        </is>
      </c>
      <c r="B11" s="27" t="inlineStr">
        <is>
          <t>Performance</t>
        </is>
      </c>
      <c r="C11" s="27" t="inlineStr">
        <is>
          <t>Home page load budget</t>
        </is>
      </c>
      <c r="D11" s="27" t="inlineStr">
        <is>
          <t>Performance</t>
        </is>
      </c>
      <c r="E11" s="27" t="inlineStr">
        <is>
          <t>P2</t>
        </is>
      </c>
      <c r="F11" s="27" t="inlineStr">
        <is>
          <t>—</t>
        </is>
      </c>
      <c r="G11" s="27" t="inlineStr">
        <is>
          <t>budget PERF_PAGE_LOAD_MS / PERF_PRODUCTS_RENDERED_MS</t>
        </is>
      </c>
      <c r="H11" s="27" t="inlineStr">
        <is>
          <t>1. Navigate to home
2. Collect Navigation Timing + time to product grid</t>
        </is>
      </c>
      <c r="I11" s="27" t="inlineStr">
        <is>
          <t>load &lt; 5s; grid visible &lt; 6s (configurable). Metrics attached to the report.</t>
        </is>
      </c>
      <c r="J11" s="27" t="inlineStr">
        <is>
          <t>Automated</t>
        </is>
      </c>
      <c r="K11" s="27" t="inlineStr">
        <is>
          <t>tests/perf/performance.perf.spec.ts</t>
        </is>
      </c>
      <c r="L11" s="27" t="inlineStr">
        <is>
          <t>@perf</t>
        </is>
      </c>
      <c r="M11" s="27" t="inlineStr">
        <is>
          <t>Not Run</t>
        </is>
      </c>
      <c r="N11" s="27" t="n"/>
    </row>
    <row r="12" ht="15" customHeight="1" s="12">
      <c r="A12" s="26" t="inlineStr">
        <is>
          <t>TC-PERF-002</t>
        </is>
      </c>
      <c r="B12" s="27" t="inlineStr">
        <is>
          <t>Performance</t>
        </is>
      </c>
      <c r="C12" s="27" t="inlineStr">
        <is>
          <t>/entries latency p50</t>
        </is>
      </c>
      <c r="D12" s="27" t="inlineStr">
        <is>
          <t>Performance</t>
        </is>
      </c>
      <c r="E12" s="27" t="inlineStr">
        <is>
          <t>P2</t>
        </is>
      </c>
      <c r="F12" s="27" t="inlineStr">
        <is>
          <t>—</t>
        </is>
      </c>
      <c r="G12" s="27" t="inlineStr">
        <is>
          <t>5 calls</t>
        </is>
      </c>
      <c r="H12" s="27" t="inlineStr">
        <is>
          <t>1. Call GET /entries 5 times</t>
        </is>
      </c>
      <c r="I12" s="27" t="inlineStr">
        <is>
          <t>p50 &lt; 2s (configurable).</t>
        </is>
      </c>
      <c r="J12" s="27" t="inlineStr">
        <is>
          <t>Automated</t>
        </is>
      </c>
      <c r="K12" s="27" t="inlineStr">
        <is>
          <t>tests/perf/performance.perf.spec.ts</t>
        </is>
      </c>
      <c r="L12" s="27" t="inlineStr">
        <is>
          <t>@perf</t>
        </is>
      </c>
      <c r="M12" s="27" t="inlineStr">
        <is>
          <t>Not Run</t>
        </is>
      </c>
      <c r="N12" s="27" t="n"/>
    </row>
    <row r="13" ht="35.05" customHeight="1" s="12">
      <c r="A13" s="26" t="inlineStr">
        <is>
          <t>TC-PERF-003</t>
        </is>
      </c>
      <c r="B13" s="27" t="inlineStr">
        <is>
          <t>Performance</t>
        </is>
      </c>
      <c r="C13" s="27" t="inlineStr">
        <is>
          <t>/login latency</t>
        </is>
      </c>
      <c r="D13" s="27" t="inlineStr">
        <is>
          <t>Performance</t>
        </is>
      </c>
      <c r="E13" s="27" t="inlineStr">
        <is>
          <t>P3</t>
        </is>
      </c>
      <c r="F13" s="27" t="inlineStr">
        <is>
          <t>A registered user exists (auto-provisioned via API by the framework)</t>
        </is>
      </c>
      <c r="G13" s="27" t="inlineStr">
        <is>
          <t>—</t>
        </is>
      </c>
      <c r="H13" s="27" t="inlineStr">
        <is>
          <t>1. POST /login</t>
        </is>
      </c>
      <c r="I13" s="27" t="inlineStr">
        <is>
          <t>Response &lt; 2s (configurable).</t>
        </is>
      </c>
      <c r="J13" s="27" t="inlineStr">
        <is>
          <t>Automated</t>
        </is>
      </c>
      <c r="K13" s="27" t="inlineStr">
        <is>
          <t>tests/perf/performance.perf.spec.ts</t>
        </is>
      </c>
      <c r="L13" s="27" t="inlineStr">
        <is>
          <t>@perf</t>
        </is>
      </c>
      <c r="M13" s="27" t="inlineStr">
        <is>
          <t>Not Run</t>
        </is>
      </c>
      <c r="N13" s="27" t="n"/>
    </row>
    <row r="14" ht="15" customHeight="1" s="12">
      <c r="A14" s="26" t="inlineStr">
        <is>
          <t>TC-PERF-004</t>
        </is>
      </c>
      <c r="B14" s="27" t="inlineStr">
        <is>
          <t>Load</t>
        </is>
      </c>
      <c r="C14" s="27" t="inlineStr">
        <is>
          <t>Catalogue API under concurrent load (k6)</t>
        </is>
      </c>
      <c r="D14" s="27" t="inlineStr">
        <is>
          <t>Performance</t>
        </is>
      </c>
      <c r="E14" s="27" t="inlineStr">
        <is>
          <t>P3</t>
        </is>
      </c>
      <c r="F14" s="27" t="inlineStr">
        <is>
          <t>k6 installed</t>
        </is>
      </c>
      <c r="G14" s="27" t="inlineStr">
        <is>
          <t>5–20 virtual users, ~1 min</t>
        </is>
      </c>
      <c r="H14" s="27" t="inlineStr">
        <is>
          <t>1. k6 run perf/k6/catalog-load.js</t>
        </is>
      </c>
      <c r="I14" s="27" t="inlineStr">
        <is>
          <t>Error rate &lt; 1%; p95 &lt; 2s.</t>
        </is>
      </c>
      <c r="J14" s="27" t="inlineStr">
        <is>
          <t>Automated</t>
        </is>
      </c>
      <c r="K14" s="27" t="inlineStr">
        <is>
          <t>perf/k6/catalog-load.js</t>
        </is>
      </c>
      <c r="L14" s="27" t="inlineStr">
        <is>
          <t>k6</t>
        </is>
      </c>
      <c r="M14" s="27" t="inlineStr">
        <is>
          <t>Not Run</t>
        </is>
      </c>
      <c r="N14" s="27" t="n"/>
    </row>
  </sheetData>
  <autoFilter ref="A1:N14"/>
  <conditionalFormatting sqref="M2:M14">
    <cfRule type="cellIs" rank="0" priority="2" equalAverage="0" operator="equal" aboveAverage="0" dxfId="3" text="" percent="0" bottom="0">
      <formula>"Pass"</formula>
    </cfRule>
    <cfRule type="cellIs" rank="0" priority="3" equalAverage="0" operator="equal" aboveAverage="0" dxfId="4" text="" percent="0" bottom="0">
      <formula>"Fail"</formula>
    </cfRule>
    <cfRule type="cellIs" rank="0" priority="4" equalAverage="0" operator="equal" aboveAverage="0" dxfId="5" text="" percent="0" bottom="0">
      <formula>"Expected Fail"</formula>
    </cfRule>
  </conditionalFormatting>
  <conditionalFormatting sqref="L2:L14">
    <cfRule type="expression" rank="0" priority="5" equalAverage="0" aboveAverage="0" dxfId="5" text="" percent="0" bottom="0">
      <formula>ISNUMBER(SEARCH("@known-bug",L2))</formula>
    </cfRule>
  </conditionalFormatting>
  <dataValidations count="3">
    <dataValidation sqref="M2:M14" showDropDown="0" showInputMessage="0" showErrorMessage="0" allowBlank="1" type="list" errorStyle="stop" operator="between">
      <formula1>"Not Run,Pass,Fail,Blocked,Expected Fail"</formula1>
      <formula2>0</formula2>
    </dataValidation>
    <dataValidation sqref="J2:J14" showDropDown="0" showInputMessage="0" showErrorMessage="0" allowBlank="1" type="list" errorStyle="stop" operator="between">
      <formula1>"Automated,Candidate,Manual"</formula1>
      <formula2>0</formula2>
    </dataValidation>
    <dataValidation sqref="E2:E14" showDropDown="0" showInputMessage="0" showErrorMessage="0" allowBlank="1" type="list" errorStyle="stop" operator="between">
      <formula1>"P1,P2,P3"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8.6796875" defaultRowHeight="15" zeroHeight="0" outlineLevelRow="0"/>
  <cols>
    <col width="14" customWidth="1" style="11" min="1" max="1"/>
    <col width="18" customWidth="1" style="11" min="2" max="2"/>
    <col width="40" customWidth="1" style="11" min="3" max="3"/>
    <col width="13" customWidth="1" style="11" min="4" max="4"/>
    <col width="9" customWidth="1" style="11" min="5" max="5"/>
    <col width="28" customWidth="1" style="11" min="6" max="7"/>
    <col width="52" customWidth="1" style="11" min="8" max="8"/>
    <col width="48" customWidth="1" style="11" min="9" max="9"/>
    <col width="13" customWidth="1" style="11" min="10" max="10"/>
    <col width="30" customWidth="1" style="11" min="11" max="11"/>
    <col width="18" customWidth="1" style="11" min="12" max="12"/>
    <col width="11" customWidth="1" style="11" min="13" max="13"/>
    <col width="34" customWidth="1" style="11" min="14" max="14"/>
  </cols>
  <sheetData>
    <row r="1" ht="26.85" customHeight="1" s="12">
      <c r="A1" s="18" t="inlineStr">
        <is>
          <t>TC ID</t>
        </is>
      </c>
      <c r="B1" s="18" t="inlineStr">
        <is>
          <t>Scenario</t>
        </is>
      </c>
      <c r="C1" s="18" t="inlineStr">
        <is>
          <t>Title</t>
        </is>
      </c>
      <c r="D1" s="18" t="inlineStr">
        <is>
          <t>Type</t>
        </is>
      </c>
      <c r="E1" s="18" t="inlineStr">
        <is>
          <t>Priority</t>
        </is>
      </c>
      <c r="F1" s="18" t="inlineStr">
        <is>
          <t>Preconditions</t>
        </is>
      </c>
      <c r="G1" s="18" t="inlineStr">
        <is>
          <t>Test Data</t>
        </is>
      </c>
      <c r="H1" s="18" t="inlineStr">
        <is>
          <t>Steps</t>
        </is>
      </c>
      <c r="I1" s="18" t="inlineStr">
        <is>
          <t>Expected Result</t>
        </is>
      </c>
      <c r="J1" s="18" t="inlineStr">
        <is>
          <t>Automation</t>
        </is>
      </c>
      <c r="K1" s="18" t="inlineStr">
        <is>
          <t>Automated In</t>
        </is>
      </c>
      <c r="L1" s="18" t="inlineStr">
        <is>
          <t>Tags</t>
        </is>
      </c>
      <c r="M1" s="18" t="inlineStr">
        <is>
          <t>Status</t>
        </is>
      </c>
      <c r="N1" s="18" t="inlineStr">
        <is>
          <t>Actual Result / Notes</t>
        </is>
      </c>
    </row>
    <row r="2" ht="54.4" customHeight="1" s="12">
      <c r="A2" s="28" t="inlineStr">
        <is>
          <t>TC-CONC-001</t>
        </is>
      </c>
      <c r="B2" s="29" t="inlineStr">
        <is>
          <t>Concurrency</t>
        </is>
      </c>
      <c r="C2" s="29" t="inlineStr">
        <is>
          <t>Parallel add-to-cart requests are all persisted, none lost</t>
        </is>
      </c>
      <c r="D2" s="29" t="inlineStr">
        <is>
          <t>Functional</t>
        </is>
      </c>
      <c r="E2" s="29" t="inlineStr">
        <is>
          <t>P1</t>
        </is>
      </c>
      <c r="F2" s="29" t="inlineStr">
        <is>
          <t>Registered user, empty cart (auto-provisioned via API by the framework)</t>
        </is>
      </c>
      <c r="G2" s="29" t="inlineStr">
        <is>
          <t>10 parallel POST /addtocart, unique line ids, Nexus 6</t>
        </is>
      </c>
      <c r="H2" s="29" t="inlineStr">
        <is>
          <t>1. Send 10 POST /addtocart in parallel, each with its own line id
2. POST /viewcart</t>
        </is>
      </c>
      <c r="I2" s="29" t="inlineStr">
        <is>
          <t>All 10 requests return 200; cart has exactly 10 lines and their ids equal the ids sent (no lost writes).</t>
        </is>
      </c>
      <c r="J2" s="29" t="inlineStr">
        <is>
          <t>Automated</t>
        </is>
      </c>
      <c r="K2" s="29" t="inlineStr">
        <is>
          <t>tests/api/concurrency.api.spec.ts</t>
        </is>
      </c>
      <c r="L2" s="29" t="inlineStr">
        <is>
          <t>@api @concurrency @regression</t>
        </is>
      </c>
      <c r="M2" s="29" t="inlineStr">
        <is>
          <t>Not Run</t>
        </is>
      </c>
      <c r="N2" s="29" t="n"/>
    </row>
    <row r="3" ht="54.4" customHeight="1" s="12">
      <c r="A3" s="28" t="inlineStr">
        <is>
          <t>TC-CONC-002</t>
        </is>
      </c>
      <c r="B3" s="29" t="inlineStr">
        <is>
          <t>Idempotency</t>
        </is>
      </c>
      <c r="C3" s="29" t="inlineStr">
        <is>
          <t>Replaying the same request in parallel creates exactly one line</t>
        </is>
      </c>
      <c r="D3" s="29" t="inlineStr">
        <is>
          <t>Edge</t>
        </is>
      </c>
      <c r="E3" s="29" t="inlineStr">
        <is>
          <t>P1</t>
        </is>
      </c>
      <c r="F3" s="29" t="inlineStr">
        <is>
          <t>Registered user, empty cart (auto-provisioned via API by the framework)</t>
        </is>
      </c>
      <c r="G3" s="29" t="inlineStr">
        <is>
          <t>10 identical POST /addtocart with the same line id</t>
        </is>
      </c>
      <c r="H3" s="29" t="inlineStr">
        <is>
          <t>1. Send the same POST /addtocart (same id, same payload) 10 times in parallel
2. POST /viewcart</t>
        </is>
      </c>
      <c r="I3" s="29" t="inlineStr">
        <is>
          <t>All requests return 200; cart has exactly 1 line with that id and product (replay is idempotent).</t>
        </is>
      </c>
      <c r="J3" s="29" t="inlineStr">
        <is>
          <t>Automated</t>
        </is>
      </c>
      <c r="K3" s="29" t="inlineStr">
        <is>
          <t>tests/api/concurrency.api.spec.ts</t>
        </is>
      </c>
      <c r="L3" s="29" t="inlineStr">
        <is>
          <t>@api @concurrency @idempotency @smoke</t>
        </is>
      </c>
      <c r="M3" s="29" t="inlineStr">
        <is>
          <t>Not Run</t>
        </is>
      </c>
      <c r="N3" s="29" t="n"/>
    </row>
    <row r="4" ht="41.8" customHeight="1" s="12">
      <c r="A4" s="28" t="inlineStr">
        <is>
          <t>TC-CONC-003</t>
        </is>
      </c>
      <c r="B4" s="29" t="inlineStr">
        <is>
          <t>Idempotency</t>
        </is>
      </c>
      <c r="C4" s="29" t="inlineStr">
        <is>
          <t>Parallel deletes of the same line are safe</t>
        </is>
      </c>
      <c r="D4" s="29" t="inlineStr">
        <is>
          <t>Edge</t>
        </is>
      </c>
      <c r="E4" s="29" t="inlineStr">
        <is>
          <t>P2</t>
        </is>
      </c>
      <c r="F4" s="29" t="inlineStr">
        <is>
          <t>Registered user, empty cart (auto-provisioned via API by the framework); cart has 1 line</t>
        </is>
      </c>
      <c r="G4" s="29" t="inlineStr">
        <is>
          <t>5 parallel POST /deleteitem with the same id</t>
        </is>
      </c>
      <c r="H4" s="29" t="inlineStr">
        <is>
          <t>1. Add 1 line
2. Send 5 POST /deleteitem for that line in parallel
3. POST /viewcart</t>
        </is>
      </c>
      <c r="I4" s="29" t="inlineStr">
        <is>
          <t>No request errors; cart is empty; no exception from deleting an already-deleted line.</t>
        </is>
      </c>
      <c r="J4" s="29" t="inlineStr">
        <is>
          <t>Automated</t>
        </is>
      </c>
      <c r="K4" s="29" t="inlineStr">
        <is>
          <t>tests/api/concurrency.api.spec.ts</t>
        </is>
      </c>
      <c r="L4" s="29" t="inlineStr">
        <is>
          <t>@api @concurrency @idempotency</t>
        </is>
      </c>
      <c r="M4" s="29" t="inlineStr">
        <is>
          <t>Not Run</t>
        </is>
      </c>
      <c r="N4" s="29" t="n"/>
    </row>
    <row r="5" ht="41.8" customHeight="1" s="12">
      <c r="A5" s="28" t="inlineStr">
        <is>
          <t>TC-CONC-004</t>
        </is>
      </c>
      <c r="B5" s="29" t="inlineStr">
        <is>
          <t>Idempotency</t>
        </is>
      </c>
      <c r="C5" s="29" t="inlineStr">
        <is>
          <t>Placing the order twice in parallel empties the cart once without errors</t>
        </is>
      </c>
      <c r="D5" s="29" t="inlineStr">
        <is>
          <t>Edge</t>
        </is>
      </c>
      <c r="E5" s="29" t="inlineStr">
        <is>
          <t>P1</t>
        </is>
      </c>
      <c r="F5" s="29" t="inlineStr">
        <is>
          <t>Registered user, empty cart (auto-provisioned via API by the framework); cart has 2 lines</t>
        </is>
      </c>
      <c r="G5" s="29" t="inlineStr">
        <is>
          <t>2 parallel POST /deletecart (place order)</t>
        </is>
      </c>
      <c r="H5" s="29" t="inlineStr">
        <is>
          <t>1. Add 2 products
2. Send 2 place-order requests in parallel
3. POST /viewcart</t>
        </is>
      </c>
      <c r="I5" s="29" t="inlineStr">
        <is>
          <t>Both return 200; cart ends empty; no partial or duplicated state.</t>
        </is>
      </c>
      <c r="J5" s="29" t="inlineStr">
        <is>
          <t>Automated</t>
        </is>
      </c>
      <c r="K5" s="29" t="inlineStr">
        <is>
          <t>tests/api/concurrency.api.spec.ts</t>
        </is>
      </c>
      <c r="L5" s="29" t="inlineStr">
        <is>
          <t>@api @concurrency @idempotency</t>
        </is>
      </c>
      <c r="M5" s="29" t="inlineStr">
        <is>
          <t>Not Run</t>
        </is>
      </c>
      <c r="N5" s="29" t="n"/>
    </row>
    <row r="6" ht="67" customHeight="1" s="12">
      <c r="A6" s="28" t="inlineStr">
        <is>
          <t>TC-CONC-005</t>
        </is>
      </c>
      <c r="B6" s="29" t="inlineStr">
        <is>
          <t>Idempotency</t>
        </is>
      </c>
      <c r="C6" s="29" t="inlineStr">
        <is>
          <t>Reusing an idempotency key with a different payload is rejected</t>
        </is>
      </c>
      <c r="D6" s="29" t="inlineStr">
        <is>
          <t>Negative</t>
        </is>
      </c>
      <c r="E6" s="29" t="inlineStr">
        <is>
          <t>P1</t>
        </is>
      </c>
      <c r="F6" s="29" t="inlineStr">
        <is>
          <t>Registered user, empty cart (auto-provisioned via API by the framework)</t>
        </is>
      </c>
      <c r="G6" s="29" t="inlineStr">
        <is>
          <t>Same line id: first Samsung galaxy s6, then Apple monitor 24</t>
        </is>
      </c>
      <c r="H6" s="29" t="inlineStr">
        <is>
          <t>1. POST /addtocart id=X prod_id=1
2. POST /addtocart id=X prod_id=10
3. POST /viewcart</t>
        </is>
      </c>
      <c r="I6" s="29" t="inlineStr">
        <is>
          <t>Second request rejected (409/422) or ignored; cart keeps the original line with prod_id=1.</t>
        </is>
      </c>
      <c r="J6" s="29" t="inlineStr">
        <is>
          <t>Automated</t>
        </is>
      </c>
      <c r="K6" s="29" t="inlineStr">
        <is>
          <t>tests/api/concurrency.api.spec.ts</t>
        </is>
      </c>
      <c r="L6" s="29" t="inlineStr">
        <is>
          <t>@api @concurrency @known-bug</t>
        </is>
      </c>
      <c r="M6" s="29" t="inlineStr">
        <is>
          <t>Not Run</t>
        </is>
      </c>
      <c r="N6" s="29" t="inlineStr">
        <is>
          <t>Known defect BUG-07: the line is silently overwritten with prod_id=10.</t>
        </is>
      </c>
    </row>
    <row r="7" ht="41.8" customHeight="1" s="12">
      <c r="A7" s="28" t="inlineStr">
        <is>
          <t>TC-CONC-006</t>
        </is>
      </c>
      <c r="B7" s="29" t="inlineStr">
        <is>
          <t>Concurrency</t>
        </is>
      </c>
      <c r="C7" s="29" t="inlineStr">
        <is>
          <t>Same user adding from two tabs at once keeps both items</t>
        </is>
      </c>
      <c r="D7" s="29" t="inlineStr">
        <is>
          <t>Functional</t>
        </is>
      </c>
      <c r="E7" s="29" t="inlineStr">
        <is>
          <t>P2</t>
        </is>
      </c>
      <c r="F7" s="29" t="inlineStr">
        <is>
          <t>User logged in, two tabs in one session</t>
        </is>
      </c>
      <c r="G7" s="29" t="inlineStr">
        <is>
          <t>Tab 1: Nexus 6, Tab 2: Sony vaio i5</t>
        </is>
      </c>
      <c r="H7" s="29" t="inlineStr">
        <is>
          <t>1. Open a different product in each tab
2. Click 'Add to cart' in both tabs at the same time
3. Check the cart</t>
        </is>
      </c>
      <c r="I7" s="29" t="inlineStr">
        <is>
          <t>Cart contains both products exactly once.</t>
        </is>
      </c>
      <c r="J7" s="29" t="inlineStr">
        <is>
          <t>Automated</t>
        </is>
      </c>
      <c r="K7" s="29" t="inlineStr">
        <is>
          <t>tests/ui/concurrency.spec.ts</t>
        </is>
      </c>
      <c r="L7" s="29" t="inlineStr">
        <is>
          <t>@concurrency @regression</t>
        </is>
      </c>
      <c r="M7" s="29" t="inlineStr">
        <is>
          <t>Not Run</t>
        </is>
      </c>
      <c r="N7" s="29" t="n"/>
    </row>
    <row r="8" ht="41.8" customHeight="1" s="12">
      <c r="A8" s="28" t="inlineStr">
        <is>
          <t>TC-CONC-007</t>
        </is>
      </c>
      <c r="B8" s="29" t="inlineStr">
        <is>
          <t>Double submit</t>
        </is>
      </c>
      <c r="C8" s="29" t="inlineStr">
        <is>
          <t>Double-clicking 'Add to cart' adds the product once</t>
        </is>
      </c>
      <c r="D8" s="29" t="inlineStr">
        <is>
          <t>Edge</t>
        </is>
      </c>
      <c r="E8" s="29" t="inlineStr">
        <is>
          <t>P1</t>
        </is>
      </c>
      <c r="F8" s="29" t="inlineStr">
        <is>
          <t>User logged in, empty cart</t>
        </is>
      </c>
      <c r="G8" s="29" t="inlineStr">
        <is>
          <t>Nexus 6</t>
        </is>
      </c>
      <c r="H8" s="29" t="inlineStr">
        <is>
          <t>1. Open the product page
2. Double-click 'Add to cart'
3. Wait for requests to settle; check the cart</t>
        </is>
      </c>
      <c r="I8" s="29" t="inlineStr">
        <is>
          <t>Button is disabled / debounced after the first click; cart has 1 line.</t>
        </is>
      </c>
      <c r="J8" s="29" t="inlineStr">
        <is>
          <t>Automated</t>
        </is>
      </c>
      <c r="K8" s="29" t="inlineStr">
        <is>
          <t>tests/ui/concurrency.spec.ts</t>
        </is>
      </c>
      <c r="L8" s="29" t="inlineStr">
        <is>
          <t>@concurrency @known-bug</t>
        </is>
      </c>
      <c r="M8" s="29" t="inlineStr">
        <is>
          <t>Not Run</t>
        </is>
      </c>
      <c r="N8" s="29" t="inlineStr">
        <is>
          <t>Known defect BUG-08: two /addtocart requests are sent and 2 lines are created.</t>
        </is>
      </c>
    </row>
    <row r="9" ht="41.8" customHeight="1" s="12">
      <c r="A9" s="28" t="inlineStr">
        <is>
          <t>TC-CONC-008</t>
        </is>
      </c>
      <c r="B9" s="29" t="inlineStr">
        <is>
          <t>Double submit</t>
        </is>
      </c>
      <c r="C9" s="29" t="inlineStr">
        <is>
          <t>Double-clicking 'Purchase' submits the order once</t>
        </is>
      </c>
      <c r="D9" s="29" t="inlineStr">
        <is>
          <t>Edge</t>
        </is>
      </c>
      <c r="E9" s="29" t="inlineStr">
        <is>
          <t>P1</t>
        </is>
      </c>
      <c r="F9" s="29" t="inlineStr">
        <is>
          <t>User logged in, cart has 1 item</t>
        </is>
      </c>
      <c r="G9" s="29" t="inlineStr">
        <is>
          <t>Valid order form</t>
        </is>
      </c>
      <c r="H9" s="29" t="inlineStr">
        <is>
          <t>1. Open Place Order and fill the form
2. Double-click 'Purchase'
3. Count place-order requests</t>
        </is>
      </c>
      <c r="I9" s="29" t="inlineStr">
        <is>
          <t>Exactly one order request is sent (payment-style double-charge protection).</t>
        </is>
      </c>
      <c r="J9" s="29" t="inlineStr">
        <is>
          <t>Automated</t>
        </is>
      </c>
      <c r="K9" s="29" t="inlineStr">
        <is>
          <t>tests/ui/concurrency.spec.ts</t>
        </is>
      </c>
      <c r="L9" s="29" t="inlineStr">
        <is>
          <t>@concurrency @known-bug</t>
        </is>
      </c>
      <c r="M9" s="29" t="inlineStr">
        <is>
          <t>Not Run</t>
        </is>
      </c>
      <c r="N9" s="29" t="inlineStr">
        <is>
          <t>Known defect BUG-09: two /deletecart requests are sent; on a real gateway this is a double charge.</t>
        </is>
      </c>
    </row>
    <row r="10" ht="41.8" customHeight="1" s="12">
      <c r="A10" s="28" t="inlineStr">
        <is>
          <t>TC-CTR-001</t>
        </is>
      </c>
      <c r="B10" s="29" t="inlineStr">
        <is>
          <t>Contract /login</t>
        </is>
      </c>
      <c r="C10" s="29" t="inlineStr">
        <is>
          <t>Successful login returns an Auth_token string</t>
        </is>
      </c>
      <c r="D10" s="29" t="inlineStr">
        <is>
          <t>Functional</t>
        </is>
      </c>
      <c r="E10" s="29" t="inlineStr">
        <is>
          <t>P1</t>
        </is>
      </c>
      <c r="F10" s="29" t="inlineStr">
        <is>
          <t>Registered user, empty cart (auto-provisioned via API by the framework)</t>
        </is>
      </c>
      <c r="G10" s="29" t="inlineStr">
        <is>
          <t>valid username / password</t>
        </is>
      </c>
      <c r="H10" s="29" t="inlineStr">
        <is>
          <t>1. POST /login with valid credentials
2. Validate the body against loginSuccessSchema</t>
        </is>
      </c>
      <c r="I10" s="29" t="inlineStr">
        <is>
          <t>HTTP 200, content-type application/json, body is a JSON string matching ^Auth_token: \S+$.</t>
        </is>
      </c>
      <c r="J10" s="29" t="inlineStr">
        <is>
          <t>Automated</t>
        </is>
      </c>
      <c r="K10" s="29" t="inlineStr">
        <is>
          <t>tests/api/contract.api.spec.ts</t>
        </is>
      </c>
      <c r="L10" s="29" t="inlineStr">
        <is>
          <t>@api @contract @smoke</t>
        </is>
      </c>
      <c r="M10" s="29" t="inlineStr">
        <is>
          <t>Not Run</t>
        </is>
      </c>
      <c r="N10" s="29" t="n"/>
    </row>
    <row r="11" ht="41.8" customHeight="1" s="12">
      <c r="A11" s="28" t="inlineStr">
        <is>
          <t>TC-CTR-002</t>
        </is>
      </c>
      <c r="B11" s="29" t="inlineStr">
        <is>
          <t>Contract /login</t>
        </is>
      </c>
      <c r="C11" s="29" t="inlineStr">
        <is>
          <t>Failed login returns the error contract</t>
        </is>
      </c>
      <c r="D11" s="29" t="inlineStr">
        <is>
          <t>Negative</t>
        </is>
      </c>
      <c r="E11" s="29" t="inlineStr">
        <is>
          <t>P1</t>
        </is>
      </c>
      <c r="F11" s="29" t="inlineStr">
        <is>
          <t>Registered user, empty cart (auto-provisioned via API by the framework)</t>
        </is>
      </c>
      <c r="G11" s="29" t="inlineStr">
        <is>
          <t>wrong password; unknown username</t>
        </is>
      </c>
      <c r="H11" s="29" t="inlineStr">
        <is>
          <t>1. POST /login with a wrong password
2. POST /login with an unknown user
3. Validate each body against errorSchema</t>
        </is>
      </c>
      <c r="I11" s="29" t="inlineStr">
        <is>
          <t>Body is exactly { errorMessage: string } with 'Wrong password.' / 'User does not exist.'.</t>
        </is>
      </c>
      <c r="J11" s="29" t="inlineStr">
        <is>
          <t>Automated</t>
        </is>
      </c>
      <c r="K11" s="29" t="inlineStr">
        <is>
          <t>tests/api/contract.api.spec.ts</t>
        </is>
      </c>
      <c r="L11" s="29" t="inlineStr">
        <is>
          <t>@api @contract @regression</t>
        </is>
      </c>
      <c r="M11" s="29" t="inlineStr">
        <is>
          <t>Not Run</t>
        </is>
      </c>
      <c r="N11" s="29" t="n"/>
    </row>
    <row r="12" ht="41.8" customHeight="1" s="12">
      <c r="A12" s="28" t="inlineStr">
        <is>
          <t>TC-CTR-003</t>
        </is>
      </c>
      <c r="B12" s="29" t="inlineStr">
        <is>
          <t>Contract cart</t>
        </is>
      </c>
      <c r="C12" s="29" t="inlineStr">
        <is>
          <t>/addtocart succeeds with an empty body and /viewcart returns the typed line</t>
        </is>
      </c>
      <c r="D12" s="29" t="inlineStr">
        <is>
          <t>Functional</t>
        </is>
      </c>
      <c r="E12" s="29" t="inlineStr">
        <is>
          <t>P1</t>
        </is>
      </c>
      <c r="F12" s="29" t="inlineStr">
        <is>
          <t>Registered user, empty cart (auto-provisioned via API by the framework)</t>
        </is>
      </c>
      <c r="G12" s="29" t="inlineStr">
        <is>
          <t>Nexus 6, fixed line id</t>
        </is>
      </c>
      <c r="H12" s="29" t="inlineStr">
        <is>
          <t>1. POST /addtocart
2. POST /viewcart
3. Validate against viewCartSchema</t>
        </is>
      </c>
      <c r="I12" s="29" t="inlineStr">
        <is>
          <t>/addtocart: 200 with empty body. /viewcart: { Items: [{ cookie: string, id: string, prod_id: integer }] } with no extra fields.</t>
        </is>
      </c>
      <c r="J12" s="29" t="inlineStr">
        <is>
          <t>Automated</t>
        </is>
      </c>
      <c r="K12" s="29" t="inlineStr">
        <is>
          <t>tests/api/contract.api.spec.ts</t>
        </is>
      </c>
      <c r="L12" s="29" t="inlineStr">
        <is>
          <t>@api @contract @smoke</t>
        </is>
      </c>
      <c r="M12" s="29" t="inlineStr">
        <is>
          <t>Not Run</t>
        </is>
      </c>
      <c r="N12" s="29" t="n"/>
    </row>
    <row r="13" ht="41.8" customHeight="1" s="12">
      <c r="A13" s="28" t="inlineStr">
        <is>
          <t>TC-CTR-004</t>
        </is>
      </c>
      <c r="B13" s="29" t="inlineStr">
        <is>
          <t>Contract cart</t>
        </is>
      </c>
      <c r="C13" s="29" t="inlineStr">
        <is>
          <t>/viewcart of an empty cart returns an empty Items array</t>
        </is>
      </c>
      <c r="D13" s="29" t="inlineStr">
        <is>
          <t>Edge</t>
        </is>
      </c>
      <c r="E13" s="29" t="inlineStr">
        <is>
          <t>P2</t>
        </is>
      </c>
      <c r="F13" s="29" t="inlineStr">
        <is>
          <t>Registered user, empty cart (auto-provisioned via API by the framework)</t>
        </is>
      </c>
      <c r="G13" s="29" t="inlineStr">
        <is>
          <t>—</t>
        </is>
      </c>
      <c r="H13" s="29" t="inlineStr">
        <is>
          <t>1. POST /viewcart for an empty cart</t>
        </is>
      </c>
      <c r="I13" s="29" t="inlineStr">
        <is>
          <t>Body matches viewCartSchema and Items is [].</t>
        </is>
      </c>
      <c r="J13" s="29" t="inlineStr">
        <is>
          <t>Automated</t>
        </is>
      </c>
      <c r="K13" s="29" t="inlineStr">
        <is>
          <t>tests/api/contract.api.spec.ts</t>
        </is>
      </c>
      <c r="L13" s="29" t="inlineStr">
        <is>
          <t>@api @contract @regression</t>
        </is>
      </c>
      <c r="M13" s="29" t="inlineStr">
        <is>
          <t>Not Run</t>
        </is>
      </c>
      <c r="N13" s="29" t="n"/>
    </row>
    <row r="14" ht="29.2" customHeight="1" s="12">
      <c r="A14" s="28" t="inlineStr">
        <is>
          <t>TC-CTR-005</t>
        </is>
      </c>
      <c r="B14" s="29" t="inlineStr">
        <is>
          <t>Contract cart</t>
        </is>
      </c>
      <c r="C14" s="29" t="inlineStr">
        <is>
          <t>Malformed token returns the error contract on /addtocart and /viewcart</t>
        </is>
      </c>
      <c r="D14" s="29" t="inlineStr">
        <is>
          <t>Negative</t>
        </is>
      </c>
      <c r="E14" s="29" t="inlineStr">
        <is>
          <t>P2</t>
        </is>
      </c>
      <c r="F14" s="29" t="inlineStr">
        <is>
          <t>—</t>
        </is>
      </c>
      <c r="G14" s="29" t="inlineStr">
        <is>
          <t>cookie='not-a-token'</t>
        </is>
      </c>
      <c r="H14" s="29" t="inlineStr">
        <is>
          <t>1. POST /addtocart with a malformed token
2. POST /viewcart with a malformed token</t>
        </is>
      </c>
      <c r="I14" s="29" t="inlineStr">
        <is>
          <t>Body matches errorSchema with 'Bad parameter, token malformed.'; nothing is stored.</t>
        </is>
      </c>
      <c r="J14" s="29" t="inlineStr">
        <is>
          <t>Automated</t>
        </is>
      </c>
      <c r="K14" s="29" t="inlineStr">
        <is>
          <t>tests/api/contract.api.spec.ts</t>
        </is>
      </c>
      <c r="L14" s="29" t="inlineStr">
        <is>
          <t>@api @contract @regression</t>
        </is>
      </c>
      <c r="M14" s="29" t="inlineStr">
        <is>
          <t>Not Run</t>
        </is>
      </c>
      <c r="N14" s="29" t="n"/>
    </row>
    <row r="15" ht="29.2" customHeight="1" s="12">
      <c r="A15" s="28" t="inlineStr">
        <is>
          <t>TC-CTR-006</t>
        </is>
      </c>
      <c r="B15" s="29" t="inlineStr">
        <is>
          <t>Contract errors</t>
        </is>
      </c>
      <c r="C15" s="29" t="inlineStr">
        <is>
          <t>Errors are reported with a 4xx status code</t>
        </is>
      </c>
      <c r="D15" s="29" t="inlineStr">
        <is>
          <t>Negative</t>
        </is>
      </c>
      <c r="E15" s="29" t="inlineStr">
        <is>
          <t>P2</t>
        </is>
      </c>
      <c r="F15" s="29" t="inlineStr">
        <is>
          <t>—</t>
        </is>
      </c>
      <c r="G15" s="29" t="inlineStr">
        <is>
          <t>unknown username</t>
        </is>
      </c>
      <c r="H15" s="29" t="inlineStr">
        <is>
          <t>1. POST /login with an unknown user
2. Check the HTTP status</t>
        </is>
      </c>
      <c r="I15" s="29" t="inlineStr">
        <is>
          <t>HTTP status is 4xx (e.g. 401/404), not 200.</t>
        </is>
      </c>
      <c r="J15" s="29" t="inlineStr">
        <is>
          <t>Automated</t>
        </is>
      </c>
      <c r="K15" s="29" t="inlineStr">
        <is>
          <t>tests/api/contract.api.spec.ts</t>
        </is>
      </c>
      <c r="L15" s="29" t="inlineStr">
        <is>
          <t>@api @contract @known-bug</t>
        </is>
      </c>
      <c r="M15" s="29" t="inlineStr">
        <is>
          <t>Not Run</t>
        </is>
      </c>
      <c r="N15" s="29" t="inlineStr">
        <is>
          <t>Known defect BUG-10: every error is HTTP 200 with an errorMessage body.</t>
        </is>
      </c>
    </row>
    <row r="16" ht="41.8" customHeight="1" s="12">
      <c r="A16" s="28" t="inlineStr">
        <is>
          <t>TC-CTR-007</t>
        </is>
      </c>
      <c r="B16" s="29" t="inlineStr">
        <is>
          <t>Contract cart</t>
        </is>
      </c>
      <c r="C16" s="29" t="inlineStr">
        <is>
          <t>/addtocart rejects a product id that does not exist</t>
        </is>
      </c>
      <c r="D16" s="29" t="inlineStr">
        <is>
          <t>Negative</t>
        </is>
      </c>
      <c r="E16" s="29" t="inlineStr">
        <is>
          <t>P2</t>
        </is>
      </c>
      <c r="F16" s="29" t="inlineStr">
        <is>
          <t>Registered user, empty cart (auto-provisioned via API by the framework)</t>
        </is>
      </c>
      <c r="G16" s="29" t="inlineStr">
        <is>
          <t>prod_id=999999</t>
        </is>
      </c>
      <c r="H16" s="29" t="inlineStr">
        <is>
          <t>1. POST /addtocart with prod_id=999999
2. POST /viewcart</t>
        </is>
      </c>
      <c r="I16" s="29" t="inlineStr">
        <is>
          <t>Request rejected (4xx); cart stays empty.</t>
        </is>
      </c>
      <c r="J16" s="29" t="inlineStr">
        <is>
          <t>Automated</t>
        </is>
      </c>
      <c r="K16" s="29" t="inlineStr">
        <is>
          <t>tests/api/contract.api.spec.ts</t>
        </is>
      </c>
      <c r="L16" s="29" t="inlineStr">
        <is>
          <t>@api @contract @known-bug</t>
        </is>
      </c>
      <c r="M16" s="29" t="inlineStr">
        <is>
          <t>Not Run</t>
        </is>
      </c>
      <c r="N16" s="29" t="inlineStr">
        <is>
          <t>Known defect BUG-11: the line is stored with prod_id=999999.</t>
        </is>
      </c>
    </row>
    <row r="17" ht="41.8" customHeight="1" s="12">
      <c r="A17" s="28" t="inlineStr">
        <is>
          <t>TC-K6-001</t>
        </is>
      </c>
      <c r="B17" s="29" t="inlineStr">
        <is>
          <t>Load (k6)</t>
        </is>
      </c>
      <c r="C17" s="29" t="inlineStr">
        <is>
          <t>Checkout flow smoke: 1 VU for 30 s</t>
        </is>
      </c>
      <c r="D17" s="29" t="inlineStr">
        <is>
          <t>Performance</t>
        </is>
      </c>
      <c r="E17" s="29" t="inlineStr">
        <is>
          <t>P2</t>
        </is>
      </c>
      <c r="F17" s="29" t="inlineStr">
        <is>
          <t>k6 installed; 1 user signed up in setup()</t>
        </is>
      </c>
      <c r="G17" s="29" t="inlineStr">
        <is>
          <t>SCENARIO=smoke</t>
        </is>
      </c>
      <c r="H17" s="29" t="inlineStr">
        <is>
          <t>1. npm run perf:smoke
2. Flow per iteration: login → add to cart → verify cart → place order → verify cart emptied</t>
        </is>
      </c>
      <c r="I17" s="29" t="inlineStr">
        <is>
          <t>All thresholds pass: http_req_failed &lt;1%, p95 &lt;2 s, p99 &lt;4 s, per-step p95 &lt;1.5 s, checks &gt;99%, business_errors &lt;1%, checkout p95 &lt;6 s.</t>
        </is>
      </c>
      <c r="J17" s="29" t="inlineStr">
        <is>
          <t>Automated</t>
        </is>
      </c>
      <c r="K17" s="29" t="inlineStr">
        <is>
          <t>perf/k6/checkout-flow.js</t>
        </is>
      </c>
      <c r="L17" s="29" t="inlineStr">
        <is>
          <t>@perf @k6 @smoke</t>
        </is>
      </c>
      <c r="M17" s="29" t="inlineStr">
        <is>
          <t>Not Run</t>
        </is>
      </c>
      <c r="N17" s="29" t="inlineStr">
        <is>
          <t>Run 13 Oct 2026: 11 iterations, 100% checks, p95 547 ms — all thresholds passed.</t>
        </is>
      </c>
    </row>
    <row r="18" ht="29.2" customHeight="1" s="12">
      <c r="A18" s="28" t="inlineStr">
        <is>
          <t>TC-K6-002</t>
        </is>
      </c>
      <c r="B18" s="29" t="inlineStr">
        <is>
          <t>Load (k6)</t>
        </is>
      </c>
      <c r="C18" s="29" t="inlineStr">
        <is>
          <t>Checkout flow load: ramp to 5 VUs, hold 1 min</t>
        </is>
      </c>
      <c r="D18" s="29" t="inlineStr">
        <is>
          <t>Performance</t>
        </is>
      </c>
      <c r="E18" s="29" t="inlineStr">
        <is>
          <t>P2</t>
        </is>
      </c>
      <c r="F18" s="29" t="inlineStr">
        <is>
          <t>k6 installed; PEAK_VUS users signed up in setup()</t>
        </is>
      </c>
      <c r="G18" s="29" t="inlineStr">
        <is>
          <t>SCENARIO=load</t>
        </is>
      </c>
      <c r="H18" s="29" t="inlineStr">
        <is>
          <t>1. npm run perf:checkout
2. Same flow as TC-K6-001</t>
        </is>
      </c>
      <c r="I18" s="29" t="inlineStr">
        <is>
          <t>Same thresholds as TC-K6-001 under sustained load.</t>
        </is>
      </c>
      <c r="J18" s="29" t="inlineStr">
        <is>
          <t>Automated</t>
        </is>
      </c>
      <c r="K18" s="29" t="inlineStr">
        <is>
          <t>perf/k6/checkout-flow.js</t>
        </is>
      </c>
      <c r="L18" s="29" t="inlineStr">
        <is>
          <t>@perf @k6 @regression</t>
        </is>
      </c>
      <c r="M18" s="29" t="inlineStr">
        <is>
          <t>Not Run</t>
        </is>
      </c>
      <c r="N18" s="29" t="inlineStr">
        <is>
          <t>Run nightly / on demand in the CI 'load' job.</t>
        </is>
      </c>
    </row>
    <row r="19" ht="54.4" customHeight="1" s="12">
      <c r="A19" s="28" t="inlineStr">
        <is>
          <t>TC-K6-003</t>
        </is>
      </c>
      <c r="B19" s="29" t="inlineStr">
        <is>
          <t>Spike (k6)</t>
        </is>
      </c>
      <c r="C19" s="29" t="inlineStr">
        <is>
          <t>Checkout flow spike: 1 → 20 VUs in 10 s, hold 30 s, recover</t>
        </is>
      </c>
      <c r="D19" s="29" t="inlineStr">
        <is>
          <t>Performance</t>
        </is>
      </c>
      <c r="E19" s="29" t="inlineStr">
        <is>
          <t>P1</t>
        </is>
      </c>
      <c r="F19" s="29" t="inlineStr">
        <is>
          <t>k6 installed; 20 users signed up in setup()</t>
        </is>
      </c>
      <c r="G19" s="29" t="inlineStr">
        <is>
          <t>SCENARIO=spike PEAK_VUS=20</t>
        </is>
      </c>
      <c r="H19" s="29" t="inlineStr">
        <is>
          <t>1. npm run perf:spike
2. Watch latency and errors during the ramp and after recovery</t>
        </is>
      </c>
      <c r="I19" s="29" t="inlineStr">
        <is>
          <t>Same thresholds as TC-K6-001 during and after the spike; latency returns to baseline after ramp-down.</t>
        </is>
      </c>
      <c r="J19" s="29" t="inlineStr">
        <is>
          <t>Automated</t>
        </is>
      </c>
      <c r="K19" s="29" t="inlineStr">
        <is>
          <t>perf/k6/checkout-flow.js</t>
        </is>
      </c>
      <c r="L19" s="29" t="inlineStr">
        <is>
          <t>@perf @k6 @spike</t>
        </is>
      </c>
      <c r="M19" s="29" t="inlineStr">
        <is>
          <t>Not Run</t>
        </is>
      </c>
      <c r="N19" s="29" t="inlineStr">
        <is>
          <t>Run 13 Oct 2026: 301 orders, checks 99.90%, p95 557 ms, p99 999 ms, http_req_failed 0.06% (1/1525) — all thresholds passed.</t>
        </is>
      </c>
    </row>
  </sheetData>
  <autoFilter ref="A1:N19"/>
  <conditionalFormatting sqref="M2:M19">
    <cfRule type="cellIs" rank="0" priority="2" equalAverage="0" operator="equal" aboveAverage="0" dxfId="3" text="" percent="0" bottom="0">
      <formula>"Pass"</formula>
    </cfRule>
    <cfRule type="cellIs" rank="0" priority="3" equalAverage="0" operator="equal" aboveAverage="0" dxfId="4" text="" percent="0" bottom="0">
      <formula>"Fail"</formula>
    </cfRule>
    <cfRule type="cellIs" rank="0" priority="4" equalAverage="0" operator="equal" aboveAverage="0" dxfId="5" text="" percent="0" bottom="0">
      <formula>"Expected Fail"</formula>
    </cfRule>
  </conditionalFormatting>
  <conditionalFormatting sqref="L2:L19">
    <cfRule type="expression" rank="0" priority="5" equalAverage="0" aboveAverage="0" dxfId="5" text="" percent="0" bottom="0">
      <formula>ISNUMBER(SEARCH("@known-bug",L2))</formula>
    </cfRule>
  </conditionalFormatting>
  <dataValidations count="3">
    <dataValidation sqref="M2:M19" showDropDown="0" showInputMessage="0" showErrorMessage="0" allowBlank="1" type="list">
      <formula1>"Not Run,Pass,Fail,Blocked,Expected Fail"</formula1>
    </dataValidation>
    <dataValidation sqref="J2:J19" showDropDown="0" showInputMessage="0" showErrorMessage="0" allowBlank="1" type="list">
      <formula1>"Automated,Candidate,Manual"</formula1>
    </dataValidation>
    <dataValidation sqref="E2:E19" showDropDown="0" showInputMessage="0" showErrorMessage="0" allowBlank="1" type="list">
      <formula1>"P1,P2,P3"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12" min="1" max="1"/>
    <col width="16" customWidth="1" style="12" min="2" max="2"/>
    <col width="28" customWidth="1" style="12" min="3" max="3"/>
    <col width="40" customWidth="1" style="12" min="4" max="4"/>
    <col width="12" customWidth="1" style="12" min="5" max="5"/>
    <col width="9" customWidth="1" style="12" min="6" max="6"/>
    <col width="28" customWidth="1" style="12" min="7" max="7"/>
    <col width="48" customWidth="1" style="12" min="8" max="8"/>
    <col width="46" customWidth="1" style="12" min="9" max="9"/>
    <col width="13" customWidth="1" style="12" min="10" max="10"/>
    <col width="24" customWidth="1" style="12" min="11" max="11"/>
    <col width="18" customWidth="1" style="12" min="12" max="12"/>
    <col width="12" customWidth="1" style="12" min="13" max="13"/>
  </cols>
  <sheetData>
    <row r="1" ht="26.85" customHeight="1" s="12">
      <c r="A1" s="25" t="inlineStr">
        <is>
          <t>ID</t>
        </is>
      </c>
      <c r="B1" s="25" t="inlineStr">
        <is>
          <t>Area</t>
        </is>
      </c>
      <c r="C1" s="25" t="inlineStr">
        <is>
          <t>Risk addressed</t>
        </is>
      </c>
      <c r="D1" s="25" t="inlineStr">
        <is>
          <t>Scenario</t>
        </is>
      </c>
      <c r="E1" s="25" t="inlineStr">
        <is>
          <t>Type</t>
        </is>
      </c>
      <c r="F1" s="25" t="inlineStr">
        <is>
          <t>Priority</t>
        </is>
      </c>
      <c r="G1" s="25" t="inlineStr">
        <is>
          <t>Setup / Preconditions</t>
        </is>
      </c>
      <c r="H1" s="25" t="inlineStr">
        <is>
          <t>Steps</t>
        </is>
      </c>
      <c r="I1" s="25" t="inlineStr">
        <is>
          <t>Expected Result</t>
        </is>
      </c>
      <c r="J1" s="25" t="inlineStr">
        <is>
          <t>Test Level</t>
        </is>
      </c>
      <c r="K1" s="25" t="inlineStr">
        <is>
          <t>Tooling</t>
        </is>
      </c>
      <c r="L1" s="25" t="inlineStr">
        <is>
          <t>DemoBlaze analogue</t>
        </is>
      </c>
      <c r="M1" s="25" t="inlineStr">
        <is>
          <t>Status</t>
        </is>
      </c>
    </row>
    <row r="2" ht="41.8" customHeight="1" s="12">
      <c r="A2" s="28" t="inlineStr">
        <is>
          <t>PG-PAY-01</t>
        </is>
      </c>
      <c r="B2" s="29" t="inlineStr">
        <is>
          <t>Payment &amp; idempotency</t>
        </is>
      </c>
      <c r="C2" s="29" t="inlineStr">
        <is>
          <t>Double charge on client retry</t>
        </is>
      </c>
      <c r="D2" s="29" t="inlineStr">
        <is>
          <t>Same Idempotency-Key sent twice returns the original result and charges once</t>
        </is>
      </c>
      <c r="E2" s="29" t="inlineStr">
        <is>
          <t>Edge</t>
        </is>
      </c>
      <c r="F2" s="29" t="inlineStr">
        <is>
          <t>P1</t>
        </is>
      </c>
      <c r="G2" s="29" t="inlineStr">
        <is>
          <t>Merchant account; card token</t>
        </is>
      </c>
      <c r="H2" s="29" t="inlineStr">
        <is>
          <t>1. POST /payments with Idempotency-Key K
2. Repeat the identical request sequentially and 50x in parallel</t>
        </is>
      </c>
      <c r="I2" s="29" t="inlineStr">
        <is>
          <t>One charge in the ledger; every response has the same payment_id and status; replays flagged as replay.</t>
        </is>
      </c>
      <c r="J2" s="29" t="inlineStr">
        <is>
          <t>API</t>
        </is>
      </c>
      <c r="K2" s="29" t="inlineStr">
        <is>
          <t>Playwright API, k6</t>
        </is>
      </c>
      <c r="L2" s="29" t="inlineStr">
        <is>
          <t>TC-CONC-002</t>
        </is>
      </c>
      <c r="M2" s="29" t="inlineStr">
        <is>
          <t>Proposed</t>
        </is>
      </c>
    </row>
    <row r="3" ht="29.2" customHeight="1" s="12">
      <c r="A3" s="28" t="inlineStr">
        <is>
          <t>PG-PAY-02</t>
        </is>
      </c>
      <c r="B3" s="29" t="inlineStr">
        <is>
          <t>Payment &amp; idempotency</t>
        </is>
      </c>
      <c r="C3" s="29" t="inlineStr">
        <is>
          <t>Key reused for a different payment</t>
        </is>
      </c>
      <c r="D3" s="29" t="inlineStr">
        <is>
          <t>Same Idempotency-Key with a different amount or card is rejected</t>
        </is>
      </c>
      <c r="E3" s="29" t="inlineStr">
        <is>
          <t>Negative</t>
        </is>
      </c>
      <c r="F3" s="29" t="inlineStr">
        <is>
          <t>P1</t>
        </is>
      </c>
      <c r="G3" s="29" t="inlineStr">
        <is>
          <t>Payment created with key K</t>
        </is>
      </c>
      <c r="H3" s="29" t="inlineStr">
        <is>
          <t>1. POST /payments with key K and a different amount</t>
        </is>
      </c>
      <c r="I3" s="29" t="inlineStr">
        <is>
          <t>409/422 with a clear error; original payment untouched; no second charge.</t>
        </is>
      </c>
      <c r="J3" s="29" t="inlineStr">
        <is>
          <t>API</t>
        </is>
      </c>
      <c r="K3" s="29" t="inlineStr">
        <is>
          <t>Playwright API</t>
        </is>
      </c>
      <c r="L3" s="29" t="inlineStr">
        <is>
          <t>TC-CONC-005</t>
        </is>
      </c>
      <c r="M3" s="29" t="inlineStr">
        <is>
          <t>Proposed</t>
        </is>
      </c>
    </row>
    <row r="4" ht="41.8" customHeight="1" s="12">
      <c r="A4" s="28" t="inlineStr">
        <is>
          <t>PG-PAY-03</t>
        </is>
      </c>
      <c r="B4" s="29" t="inlineStr">
        <is>
          <t>Payment &amp; idempotency</t>
        </is>
      </c>
      <c r="C4" s="29" t="inlineStr">
        <is>
          <t>Idempotency window</t>
        </is>
      </c>
      <c r="D4" s="29" t="inlineStr">
        <is>
          <t>After the key TTL (e.g. 24 h) the same key is treated as a new request</t>
        </is>
      </c>
      <c r="E4" s="29" t="inlineStr">
        <is>
          <t>Edge</t>
        </is>
      </c>
      <c r="F4" s="29" t="inlineStr">
        <is>
          <t>P2</t>
        </is>
      </c>
      <c r="G4" s="29" t="inlineStr">
        <is>
          <t>Key K older than TTL (time-travel / short TTL in test env)</t>
        </is>
      </c>
      <c r="H4" s="29" t="inlineStr">
        <is>
          <t>1. Replay key K after TTL expiry</t>
        </is>
      </c>
      <c r="I4" s="29" t="inlineStr">
        <is>
          <t>Behaviour matches the documented policy (new payment or explicit 'key expired' error); no silent duplicate.</t>
        </is>
      </c>
      <c r="J4" s="29" t="inlineStr">
        <is>
          <t>Integration</t>
        </is>
      </c>
      <c r="K4" s="29" t="inlineStr">
        <is>
          <t>Testcontainers Redis</t>
        </is>
      </c>
      <c r="L4" s="29" t="inlineStr">
        <is>
          <t>—</t>
        </is>
      </c>
      <c r="M4" s="29" t="inlineStr">
        <is>
          <t>Proposed</t>
        </is>
      </c>
    </row>
    <row r="5" ht="41.8" customHeight="1" s="12">
      <c r="A5" s="28" t="inlineStr">
        <is>
          <t>PG-PAY-04</t>
        </is>
      </c>
      <c r="B5" s="29" t="inlineStr">
        <is>
          <t>Payment &amp; idempotency</t>
        </is>
      </c>
      <c r="C5" s="29" t="inlineStr">
        <is>
          <t>Illegal state transitions</t>
        </is>
      </c>
      <c r="D5" s="29" t="inlineStr">
        <is>
          <t>Payment state machine only allows valid transitions</t>
        </is>
      </c>
      <c r="E5" s="29" t="inlineStr">
        <is>
          <t>Negative</t>
        </is>
      </c>
      <c r="F5" s="29" t="inlineStr">
        <is>
          <t>P1</t>
        </is>
      </c>
      <c r="G5" s="29" t="inlineStr">
        <is>
          <t>Payments in each state</t>
        </is>
      </c>
      <c r="H5" s="29" t="inlineStr">
        <is>
          <t>1. Try every transition, e.g. CAPTURED→PENDING, REFUNDED→CAPTURED, VOIDED→CAPTURED</t>
        </is>
      </c>
      <c r="I5" s="29" t="inlineStr">
        <is>
          <t>Only PENDING→AUTHORIZED→CAPTURED→(PARTIALLY_)REFUNDED and AUTHORIZED→VOIDED succeed; others return 409 and change nothing.</t>
        </is>
      </c>
      <c r="J5" s="29" t="inlineStr">
        <is>
          <t>Unit / API</t>
        </is>
      </c>
      <c r="K5" s="29" t="inlineStr">
        <is>
          <t>Jest, Playwright API</t>
        </is>
      </c>
      <c r="L5" s="29" t="inlineStr">
        <is>
          <t>—</t>
        </is>
      </c>
      <c r="M5" s="29" t="inlineStr">
        <is>
          <t>Proposed</t>
        </is>
      </c>
    </row>
    <row r="6" ht="41.8" customHeight="1" s="12">
      <c r="A6" s="28" t="inlineStr">
        <is>
          <t>PG-PAY-05</t>
        </is>
      </c>
      <c r="B6" s="29" t="inlineStr">
        <is>
          <t>Payment &amp; idempotency</t>
        </is>
      </c>
      <c r="C6" s="29" t="inlineStr">
        <is>
          <t>Acquirer timeout leaves money in limbo</t>
        </is>
      </c>
      <c r="D6" s="29" t="inlineStr">
        <is>
          <t>Acquirer times out after debiting; client retries</t>
        </is>
      </c>
      <c r="E6" s="29" t="inlineStr">
        <is>
          <t>Edge</t>
        </is>
      </c>
      <c r="F6" s="29" t="inlineStr">
        <is>
          <t>P1</t>
        </is>
      </c>
      <c r="G6" s="29" t="inlineStr">
        <is>
          <t>WireMock acquirer delays 35 s then returns success</t>
        </is>
      </c>
      <c r="H6" s="29" t="inlineStr">
        <is>
          <t>1. Create payment
2. Client times out and retries with the same key
3. Run status inquiry / reconciliation</t>
        </is>
      </c>
      <c r="I6" s="29" t="inlineStr">
        <is>
          <t>Payment stays PENDING, then resolves to the acquirer's real result; customer charged once.</t>
        </is>
      </c>
      <c r="J6" s="29" t="inlineStr">
        <is>
          <t>Integration</t>
        </is>
      </c>
      <c r="K6" s="29" t="inlineStr">
        <is>
          <t>WireMock, Testcontainers</t>
        </is>
      </c>
      <c r="L6" s="29" t="inlineStr">
        <is>
          <t>—</t>
        </is>
      </c>
      <c r="M6" s="29" t="inlineStr">
        <is>
          <t>Proposed</t>
        </is>
      </c>
    </row>
    <row r="7" ht="29.2" customHeight="1" s="12">
      <c r="A7" s="28" t="inlineStr">
        <is>
          <t>PG-PAY-06</t>
        </is>
      </c>
      <c r="B7" s="29" t="inlineStr">
        <is>
          <t>Payment &amp; idempotency</t>
        </is>
      </c>
      <c r="C7" s="29" t="inlineStr">
        <is>
          <t>Duplicate / out-of-order webhooks</t>
        </is>
      </c>
      <c r="D7" s="29" t="inlineStr">
        <is>
          <t>Webhook delivered twice and out of order</t>
        </is>
      </c>
      <c r="E7" s="29" t="inlineStr">
        <is>
          <t>Edge</t>
        </is>
      </c>
      <c r="F7" s="29" t="inlineStr">
        <is>
          <t>P1</t>
        </is>
      </c>
      <c r="G7" s="29" t="inlineStr">
        <is>
          <t>Payment AUTHORIZED</t>
        </is>
      </c>
      <c r="H7" s="29" t="inlineStr">
        <is>
          <t>1. Deliver CAPTURED webhook twice
2. Deliver AUTHORIZED after CAPTURED</t>
        </is>
      </c>
      <c r="I7" s="29" t="inlineStr">
        <is>
          <t>Processed once (dedupe on event id); final state CAPTURED; merchant notified once.</t>
        </is>
      </c>
      <c r="J7" s="29" t="inlineStr">
        <is>
          <t>Integration</t>
        </is>
      </c>
      <c r="K7" s="29" t="inlineStr">
        <is>
          <t>WireMock, Kafka</t>
        </is>
      </c>
      <c r="L7" s="29" t="inlineStr">
        <is>
          <t>—</t>
        </is>
      </c>
      <c r="M7" s="29" t="inlineStr">
        <is>
          <t>Proposed</t>
        </is>
      </c>
    </row>
    <row r="8" ht="41.8" customHeight="1" s="12">
      <c r="A8" s="28" t="inlineStr">
        <is>
          <t>PG-PAY-07</t>
        </is>
      </c>
      <c r="B8" s="29" t="inlineStr">
        <is>
          <t>Payment &amp; idempotency</t>
        </is>
      </c>
      <c r="C8" s="29" t="inlineStr">
        <is>
          <t>Forged webhook</t>
        </is>
      </c>
      <c r="D8" s="29" t="inlineStr">
        <is>
          <t>Webhook with missing or invalid HMAC signature</t>
        </is>
      </c>
      <c r="E8" s="29" t="inlineStr">
        <is>
          <t>Security</t>
        </is>
      </c>
      <c r="F8" s="29" t="inlineStr">
        <is>
          <t>P1</t>
        </is>
      </c>
      <c r="G8" s="29" t="inlineStr">
        <is>
          <t>Webhook secret configured</t>
        </is>
      </c>
      <c r="H8" s="29" t="inlineStr">
        <is>
          <t>1. POST webhook without signature
2. POST with a wrong signature
3. POST with an old timestamp</t>
        </is>
      </c>
      <c r="I8" s="29" t="inlineStr">
        <is>
          <t>401/400; no state change; security event logged.</t>
        </is>
      </c>
      <c r="J8" s="29" t="inlineStr">
        <is>
          <t>API</t>
        </is>
      </c>
      <c r="K8" s="29" t="inlineStr">
        <is>
          <t>Playwright API</t>
        </is>
      </c>
      <c r="L8" s="29" t="inlineStr">
        <is>
          <t>—</t>
        </is>
      </c>
      <c r="M8" s="29" t="inlineStr">
        <is>
          <t>Proposed</t>
        </is>
      </c>
    </row>
    <row r="9" ht="41.8" customHeight="1" s="12">
      <c r="A9" s="28" t="inlineStr">
        <is>
          <t>PG-PAY-08</t>
        </is>
      </c>
      <c r="B9" s="29" t="inlineStr">
        <is>
          <t>Payment &amp; idempotency</t>
        </is>
      </c>
      <c r="C9" s="29" t="inlineStr">
        <is>
          <t>Over-refund</t>
        </is>
      </c>
      <c r="D9" s="29" t="inlineStr">
        <is>
          <t>Refunds cannot exceed the captured amount</t>
        </is>
      </c>
      <c r="E9" s="29" t="inlineStr">
        <is>
          <t>Negative</t>
        </is>
      </c>
      <c r="F9" s="29" t="inlineStr">
        <is>
          <t>P1</t>
        </is>
      </c>
      <c r="G9" s="29" t="inlineStr">
        <is>
          <t>Payment captured 100,000 VND</t>
        </is>
      </c>
      <c r="H9" s="29" t="inlineStr">
        <is>
          <t>1. Refund 60,000
2. Refund 50,000
3. Refund 40,000</t>
        </is>
      </c>
      <c r="I9" s="29" t="inlineStr">
        <is>
          <t>Second refund rejected; total refunded ≤ captured; balances consistent.</t>
        </is>
      </c>
      <c r="J9" s="29" t="inlineStr">
        <is>
          <t>API</t>
        </is>
      </c>
      <c r="K9" s="29" t="inlineStr">
        <is>
          <t>Playwright API</t>
        </is>
      </c>
      <c r="L9" s="29" t="inlineStr">
        <is>
          <t>—</t>
        </is>
      </c>
      <c r="M9" s="29" t="inlineStr">
        <is>
          <t>Proposed</t>
        </is>
      </c>
    </row>
    <row r="10" ht="41.8" customHeight="1" s="12">
      <c r="A10" s="28" t="inlineStr">
        <is>
          <t>PG-PAY-09</t>
        </is>
      </c>
      <c r="B10" s="29" t="inlineStr">
        <is>
          <t>Payment &amp; idempotency</t>
        </is>
      </c>
      <c r="C10" s="29" t="inlineStr">
        <is>
          <t>Rounding / currency errors</t>
        </is>
      </c>
      <c r="D10" s="29" t="inlineStr">
        <is>
          <t>Amounts in minor units with correct currency rules</t>
        </is>
      </c>
      <c r="E10" s="29" t="inlineStr">
        <is>
          <t>Edge</t>
        </is>
      </c>
      <c r="F10" s="29" t="inlineStr">
        <is>
          <t>P1</t>
        </is>
      </c>
      <c r="G10" s="29" t="inlineStr">
        <is>
          <t>VND (0 decimals), USD (2), KWD (3)</t>
        </is>
      </c>
      <c r="H10" s="29" t="inlineStr">
        <is>
          <t>1. Pay 0.1 + 0.2 USD
2. Pay 1 VND
3. Pay with the max amount</t>
        </is>
      </c>
      <c r="I10" s="29" t="inlineStr">
        <is>
          <t>Stored as integer minor units / DECIMAL; no float drift; currency exponent respected.</t>
        </is>
      </c>
      <c r="J10" s="29" t="inlineStr">
        <is>
          <t>Unit / API</t>
        </is>
      </c>
      <c r="K10" s="29" t="inlineStr">
        <is>
          <t>Jest, Playwright API</t>
        </is>
      </c>
      <c r="L10" s="29" t="inlineStr">
        <is>
          <t>—</t>
        </is>
      </c>
      <c r="M10" s="29" t="inlineStr">
        <is>
          <t>Proposed</t>
        </is>
      </c>
    </row>
    <row r="11" ht="41.8" customHeight="1" s="12">
      <c r="A11" s="28" t="inlineStr">
        <is>
          <t>PG-PAY-10</t>
        </is>
      </c>
      <c r="B11" s="29" t="inlineStr">
        <is>
          <t>Payment &amp; idempotency</t>
        </is>
      </c>
      <c r="C11" s="29" t="inlineStr">
        <is>
          <t>Ledger ≠ settlement</t>
        </is>
      </c>
      <c r="D11" s="29" t="inlineStr">
        <is>
          <t>Daily reconciliation with the acquirer settlement file</t>
        </is>
      </c>
      <c r="E11" s="29" t="inlineStr">
        <is>
          <t>Functional</t>
        </is>
      </c>
      <c r="F11" s="29" t="inlineStr">
        <is>
          <t>P1</t>
        </is>
      </c>
      <c r="G11" s="29" t="inlineStr">
        <is>
          <t>Settlement file with a missing, an extra and an amount-mismatch row</t>
        </is>
      </c>
      <c r="H11" s="29" t="inlineStr">
        <is>
          <t>1. Run the reconciliation job</t>
        </is>
      </c>
      <c r="I11" s="29" t="inlineStr">
        <is>
          <t>All 3 mismatches flagged with reason; matched rows marked SETTLED; report produced.</t>
        </is>
      </c>
      <c r="J11" s="29" t="inlineStr">
        <is>
          <t>Batch / Integration</t>
        </is>
      </c>
      <c r="K11" s="29" t="inlineStr">
        <is>
          <t>Testcontainers, S3 (LocalStack)</t>
        </is>
      </c>
      <c r="L11" s="29" t="inlineStr">
        <is>
          <t>—</t>
        </is>
      </c>
      <c r="M11" s="29" t="inlineStr">
        <is>
          <t>Proposed</t>
        </is>
      </c>
    </row>
    <row r="12" ht="29.2" customHeight="1" s="12">
      <c r="A12" s="28" t="inlineStr">
        <is>
          <t>PG-CONC-01</t>
        </is>
      </c>
      <c r="B12" s="29" t="inlineStr">
        <is>
          <t>Concurrency</t>
        </is>
      </c>
      <c r="C12" s="29" t="inlineStr">
        <is>
          <t>Overdraft via race condition</t>
        </is>
      </c>
      <c r="D12" s="29" t="inlineStr">
        <is>
          <t>Two concurrent debits when the balance covers only one</t>
        </is>
      </c>
      <c r="E12" s="29" t="inlineStr">
        <is>
          <t>Edge</t>
        </is>
      </c>
      <c r="F12" s="29" t="inlineStr">
        <is>
          <t>P1</t>
        </is>
      </c>
      <c r="G12" s="29" t="inlineStr">
        <is>
          <t>Wallet balance 100</t>
        </is>
      </c>
      <c r="H12" s="29" t="inlineStr">
        <is>
          <t>1. Send two 80 debits at the same time (50 repetitions)</t>
        </is>
      </c>
      <c r="I12" s="29" t="inlineStr">
        <is>
          <t>Exactly one succeeds each time; balance never negative.</t>
        </is>
      </c>
      <c r="J12" s="29" t="inlineStr">
        <is>
          <t>API / Load</t>
        </is>
      </c>
      <c r="K12" s="29" t="inlineStr">
        <is>
          <t>k6, Promise.all</t>
        </is>
      </c>
      <c r="L12" s="29" t="inlineStr">
        <is>
          <t>TC-CONC-001</t>
        </is>
      </c>
      <c r="M12" s="29" t="inlineStr">
        <is>
          <t>Proposed</t>
        </is>
      </c>
    </row>
    <row r="13" ht="29.2" customHeight="1" s="12">
      <c r="A13" s="28" t="inlineStr">
        <is>
          <t>PG-CONC-02</t>
        </is>
      </c>
      <c r="B13" s="29" t="inlineStr">
        <is>
          <t>Concurrency</t>
        </is>
      </c>
      <c r="C13" s="29" t="inlineStr">
        <is>
          <t>Double submit from UI</t>
        </is>
      </c>
      <c r="D13" s="29" t="inlineStr">
        <is>
          <t>Double-click / double-tap on 'Pay'</t>
        </is>
      </c>
      <c r="E13" s="29" t="inlineStr">
        <is>
          <t>Edge</t>
        </is>
      </c>
      <c r="F13" s="29" t="inlineStr">
        <is>
          <t>P1</t>
        </is>
      </c>
      <c r="G13" s="29" t="inlineStr">
        <is>
          <t>Checkout page</t>
        </is>
      </c>
      <c r="H13" s="29" t="inlineStr">
        <is>
          <t>1. Double-click 'Pay'
2. Tap 'Pay' on two devices in the same session</t>
        </is>
      </c>
      <c r="I13" s="29" t="inlineStr">
        <is>
          <t>Button disabled after first click; backend creates one payment (idempotency key from client).</t>
        </is>
      </c>
      <c r="J13" s="29" t="inlineStr">
        <is>
          <t>E2E</t>
        </is>
      </c>
      <c r="K13" s="29" t="inlineStr">
        <is>
          <t>Playwright</t>
        </is>
      </c>
      <c r="L13" s="29" t="inlineStr">
        <is>
          <t>TC-CONC-007, TC-CONC-008</t>
        </is>
      </c>
      <c r="M13" s="29" t="inlineStr">
        <is>
          <t>Proposed</t>
        </is>
      </c>
    </row>
    <row r="14" ht="29.2" customHeight="1" s="12">
      <c r="A14" s="28" t="inlineStr">
        <is>
          <t>PG-CONC-03</t>
        </is>
      </c>
      <c r="B14" s="29" t="inlineStr">
        <is>
          <t>Concurrency</t>
        </is>
      </c>
      <c r="C14" s="29" t="inlineStr">
        <is>
          <t>Inconsistent state under parallel operations</t>
        </is>
      </c>
      <c r="D14" s="29" t="inlineStr">
        <is>
          <t>Concurrent capture and refund on the same payment</t>
        </is>
      </c>
      <c r="E14" s="29" t="inlineStr">
        <is>
          <t>Edge</t>
        </is>
      </c>
      <c r="F14" s="29" t="inlineStr">
        <is>
          <t>P1</t>
        </is>
      </c>
      <c r="G14" s="29" t="inlineStr">
        <is>
          <t>Payment AUTHORIZED</t>
        </is>
      </c>
      <c r="H14" s="29" t="inlineStr">
        <is>
          <t>1. Send capture and void/refund simultaneously</t>
        </is>
      </c>
      <c r="I14" s="29" t="inlineStr">
        <is>
          <t>Operations serialized; final state valid; amounts consistent.</t>
        </is>
      </c>
      <c r="J14" s="29" t="inlineStr">
        <is>
          <t>API</t>
        </is>
      </c>
      <c r="K14" s="29" t="inlineStr">
        <is>
          <t>Playwright API</t>
        </is>
      </c>
      <c r="L14" s="29" t="inlineStr">
        <is>
          <t>—</t>
        </is>
      </c>
      <c r="M14" s="29" t="inlineStr">
        <is>
          <t>Proposed</t>
        </is>
      </c>
    </row>
    <row r="15" ht="29.2" customHeight="1" s="12">
      <c r="A15" s="28" t="inlineStr">
        <is>
          <t>PG-CONC-04</t>
        </is>
      </c>
      <c r="B15" s="29" t="inlineStr">
        <is>
          <t>Concurrency</t>
        </is>
      </c>
      <c r="C15" s="29" t="inlineStr">
        <is>
          <t>Lost update</t>
        </is>
      </c>
      <c r="D15" s="29" t="inlineStr">
        <is>
          <t>Optimistic locking rejects a stale update</t>
        </is>
      </c>
      <c r="E15" s="29" t="inlineStr">
        <is>
          <t>Negative</t>
        </is>
      </c>
      <c r="F15" s="29" t="inlineStr">
        <is>
          <t>P2</t>
        </is>
      </c>
      <c r="G15" s="29" t="inlineStr">
        <is>
          <t>Record version 3</t>
        </is>
      </c>
      <c r="H15" s="29" t="inlineStr">
        <is>
          <t>1. Two clients read v3
2. Both update</t>
        </is>
      </c>
      <c r="I15" s="29" t="inlineStr">
        <is>
          <t>First update wins; second gets 409 and retries with the fresh version.</t>
        </is>
      </c>
      <c r="J15" s="29" t="inlineStr">
        <is>
          <t>Integration</t>
        </is>
      </c>
      <c r="K15" s="29" t="inlineStr">
        <is>
          <t>Testcontainers Postgres</t>
        </is>
      </c>
      <c r="L15" s="29" t="inlineStr">
        <is>
          <t>—</t>
        </is>
      </c>
      <c r="M15" s="29" t="inlineStr">
        <is>
          <t>Proposed</t>
        </is>
      </c>
    </row>
    <row r="16" ht="29.2" customHeight="1" s="12">
      <c r="A16" s="28" t="inlineStr">
        <is>
          <t>PG-CONC-05</t>
        </is>
      </c>
      <c r="B16" s="29" t="inlineStr">
        <is>
          <t>Concurrency</t>
        </is>
      </c>
      <c r="C16" s="29" t="inlineStr">
        <is>
          <t>Lost writes under load</t>
        </is>
      </c>
      <c r="D16" s="29" t="inlineStr">
        <is>
          <t>N parallel writes are all persisted</t>
        </is>
      </c>
      <c r="E16" s="29" t="inlineStr">
        <is>
          <t>Functional</t>
        </is>
      </c>
      <c r="F16" s="29" t="inlineStr">
        <is>
          <t>P2</t>
        </is>
      </c>
      <c r="G16" s="29" t="inlineStr">
        <is>
          <t>—</t>
        </is>
      </c>
      <c r="H16" s="29" t="inlineStr">
        <is>
          <t>1. Fire N parallel creates
2. Count persisted rows</t>
        </is>
      </c>
      <c r="I16" s="29" t="inlineStr">
        <is>
          <t>Exactly N rows; no duplicates; no deadlock errors.</t>
        </is>
      </c>
      <c r="J16" s="29" t="inlineStr">
        <is>
          <t>API / Load</t>
        </is>
      </c>
      <c r="K16" s="29" t="inlineStr">
        <is>
          <t>k6</t>
        </is>
      </c>
      <c r="L16" s="29" t="inlineStr">
        <is>
          <t>TC-CONC-001</t>
        </is>
      </c>
      <c r="M16" s="29" t="inlineStr">
        <is>
          <t>Proposed</t>
        </is>
      </c>
    </row>
    <row r="17" ht="29.2" customHeight="1" s="12">
      <c r="A17" s="28" t="inlineStr">
        <is>
          <t>PG-REDIS-01</t>
        </is>
      </c>
      <c r="B17" s="29" t="inlineStr">
        <is>
          <t>Redis</t>
        </is>
      </c>
      <c r="C17" s="29" t="inlineStr">
        <is>
          <t>Two workers process the same payment</t>
        </is>
      </c>
      <c r="D17" s="29" t="inlineStr">
        <is>
          <t>Distributed lock (SET NX PX) on the payment id</t>
        </is>
      </c>
      <c r="E17" s="29" t="inlineStr">
        <is>
          <t>Edge</t>
        </is>
      </c>
      <c r="F17" s="29" t="inlineStr">
        <is>
          <t>P1</t>
        </is>
      </c>
      <c r="G17" s="29" t="inlineStr">
        <is>
          <t>2 workers, same payment job</t>
        </is>
      </c>
      <c r="H17" s="29" t="inlineStr">
        <is>
          <t>1. Start both workers
2. Kill the lock holder mid-processing</t>
        </is>
      </c>
      <c r="I17" s="29" t="inlineStr">
        <is>
          <t>Only one worker processes; lock expires after PX and the job is picked up once.</t>
        </is>
      </c>
      <c r="J17" s="29" t="inlineStr">
        <is>
          <t>Integration</t>
        </is>
      </c>
      <c r="K17" s="29" t="inlineStr">
        <is>
          <t>Testcontainers Redis</t>
        </is>
      </c>
      <c r="L17" s="29" t="inlineStr">
        <is>
          <t>—</t>
        </is>
      </c>
      <c r="M17" s="29" t="inlineStr">
        <is>
          <t>Proposed</t>
        </is>
      </c>
    </row>
    <row r="18" ht="41.8" customHeight="1" s="12">
      <c r="A18" s="28" t="inlineStr">
        <is>
          <t>PG-REDIS-02</t>
        </is>
      </c>
      <c r="B18" s="29" t="inlineStr">
        <is>
          <t>Redis</t>
        </is>
      </c>
      <c r="C18" s="29" t="inlineStr">
        <is>
          <t>Idempotency store loses keys</t>
        </is>
      </c>
      <c r="D18" s="29" t="inlineStr">
        <is>
          <t>Idempotency keys persisted with correct TTL</t>
        </is>
      </c>
      <c r="E18" s="29" t="inlineStr">
        <is>
          <t>Edge</t>
        </is>
      </c>
      <c r="F18" s="29" t="inlineStr">
        <is>
          <t>P1</t>
        </is>
      </c>
      <c r="G18" s="29" t="inlineStr">
        <is>
          <t>Redis with AOF; DB fallback</t>
        </is>
      </c>
      <c r="H18" s="29" t="inlineStr">
        <is>
          <t>1. Create payment with key K
2. Restart / flush Redis
3. Replay K</t>
        </is>
      </c>
      <c r="I18" s="29" t="inlineStr">
        <is>
          <t>TTL equals policy; after restart the replay is still detected (AOF or DB fallback).</t>
        </is>
      </c>
      <c r="J18" s="29" t="inlineStr">
        <is>
          <t>Integration</t>
        </is>
      </c>
      <c r="K18" s="29" t="inlineStr">
        <is>
          <t>Testcontainers Redis</t>
        </is>
      </c>
      <c r="L18" s="29" t="inlineStr">
        <is>
          <t>—</t>
        </is>
      </c>
      <c r="M18" s="29" t="inlineStr">
        <is>
          <t>Proposed</t>
        </is>
      </c>
    </row>
    <row r="19" ht="29.2" customHeight="1" s="12">
      <c r="A19" s="28" t="inlineStr">
        <is>
          <t>PG-REDIS-03</t>
        </is>
      </c>
      <c r="B19" s="29" t="inlineStr">
        <is>
          <t>Redis</t>
        </is>
      </c>
      <c r="C19" s="29" t="inlineStr">
        <is>
          <t>Stale payment status from cache</t>
        </is>
      </c>
      <c r="D19" s="29" t="inlineStr">
        <is>
          <t>Cache invalidated on status change</t>
        </is>
      </c>
      <c r="E19" s="29" t="inlineStr">
        <is>
          <t>Functional</t>
        </is>
      </c>
      <c r="F19" s="29" t="inlineStr">
        <is>
          <t>P1</t>
        </is>
      </c>
      <c r="G19" s="29" t="inlineStr">
        <is>
          <t>Status cached as PENDING</t>
        </is>
      </c>
      <c r="H19" s="29" t="inlineStr">
        <is>
          <t>1. Capture the payment
2. GET status immediately</t>
        </is>
      </c>
      <c r="I19" s="29" t="inlineStr">
        <is>
          <t>Returns CAPTURED; no stale read beyond the documented window.</t>
        </is>
      </c>
      <c r="J19" s="29" t="inlineStr">
        <is>
          <t>Integration</t>
        </is>
      </c>
      <c r="K19" s="29" t="inlineStr">
        <is>
          <t>Testcontainers Redis</t>
        </is>
      </c>
      <c r="L19" s="29" t="inlineStr">
        <is>
          <t>—</t>
        </is>
      </c>
      <c r="M19" s="29" t="inlineStr">
        <is>
          <t>Proposed</t>
        </is>
      </c>
    </row>
    <row r="20" ht="41.8" customHeight="1" s="12">
      <c r="A20" s="28" t="inlineStr">
        <is>
          <t>PG-REDIS-04</t>
        </is>
      </c>
      <c r="B20" s="29" t="inlineStr">
        <is>
          <t>Redis</t>
        </is>
      </c>
      <c r="C20" s="29" t="inlineStr">
        <is>
          <t>Redis outage</t>
        </is>
      </c>
      <c r="D20" s="29" t="inlineStr">
        <is>
          <t>Service degrades gracefully when Redis is down</t>
        </is>
      </c>
      <c r="E20" s="29" t="inlineStr">
        <is>
          <t>Resilience</t>
        </is>
      </c>
      <c r="F20" s="29" t="inlineStr">
        <is>
          <t>P1</t>
        </is>
      </c>
      <c r="G20" s="29" t="inlineStr">
        <is>
          <t>Load running</t>
        </is>
      </c>
      <c r="H20" s="29" t="inlineStr">
        <is>
          <t>1. Stop the Redis container
2. Keep sending payments
3. Start Redis again</t>
        </is>
      </c>
      <c r="I20" s="29" t="inlineStr">
        <is>
          <t>Falls back to DB/locks; no 5xx storm; alert fires; full recovery without restart.</t>
        </is>
      </c>
      <c r="J20" s="29" t="inlineStr">
        <is>
          <t>Chaos</t>
        </is>
      </c>
      <c r="K20" s="29" t="inlineStr">
        <is>
          <t>Testcontainers, Toxiproxy</t>
        </is>
      </c>
      <c r="L20" s="29" t="inlineStr">
        <is>
          <t>—</t>
        </is>
      </c>
      <c r="M20" s="29" t="inlineStr">
        <is>
          <t>Proposed</t>
        </is>
      </c>
    </row>
    <row r="21" ht="29.2" customHeight="1" s="12">
      <c r="A21" s="28" t="inlineStr">
        <is>
          <t>PG-REDIS-05</t>
        </is>
      </c>
      <c r="B21" s="29" t="inlineStr">
        <is>
          <t>Redis</t>
        </is>
      </c>
      <c r="C21" s="29" t="inlineStr">
        <is>
          <t>Abuse / overload</t>
        </is>
      </c>
      <c r="D21" s="29" t="inlineStr">
        <is>
          <t>Rate limiting per merchant / IP</t>
        </is>
      </c>
      <c r="E21" s="29" t="inlineStr">
        <is>
          <t>Negative</t>
        </is>
      </c>
      <c r="F21" s="29" t="inlineStr">
        <is>
          <t>P2</t>
        </is>
      </c>
      <c r="G21" s="29" t="inlineStr">
        <is>
          <t>Limit 100 req/min</t>
        </is>
      </c>
      <c r="H21" s="29" t="inlineStr">
        <is>
          <t>1. Send 101 requests in a minute</t>
        </is>
      </c>
      <c r="I21" s="29" t="inlineStr">
        <is>
          <t>101st gets 429 with Retry-After; counter resets after the window.</t>
        </is>
      </c>
      <c r="J21" s="29" t="inlineStr">
        <is>
          <t>API</t>
        </is>
      </c>
      <c r="K21" s="29" t="inlineStr">
        <is>
          <t>k6</t>
        </is>
      </c>
      <c r="L21" s="29" t="inlineStr">
        <is>
          <t>—</t>
        </is>
      </c>
      <c r="M21" s="29" t="inlineStr">
        <is>
          <t>Proposed</t>
        </is>
      </c>
    </row>
    <row r="22" ht="29.2" customHeight="1" s="12">
      <c r="A22" s="28" t="inlineStr">
        <is>
          <t>PG-REDIS-06</t>
        </is>
      </c>
      <c r="B22" s="29" t="inlineStr">
        <is>
          <t>Redis</t>
        </is>
      </c>
      <c r="C22" s="29" t="inlineStr">
        <is>
          <t>Cache stampede</t>
        </is>
      </c>
      <c r="D22" s="29" t="inlineStr">
        <is>
          <t>Hot key expires under heavy load</t>
        </is>
      </c>
      <c r="E22" s="29" t="inlineStr">
        <is>
          <t>Performance</t>
        </is>
      </c>
      <c r="F22" s="29" t="inlineStr">
        <is>
          <t>P2</t>
        </is>
      </c>
      <c r="G22" s="29" t="inlineStr">
        <is>
          <t>Hot merchant config cached</t>
        </is>
      </c>
      <c r="H22" s="29" t="inlineStr">
        <is>
          <t>1. Expire the key during a 500 VU load</t>
        </is>
      </c>
      <c r="I22" s="29" t="inlineStr">
        <is>
          <t>Single rebuild (lock / early refresh); DB load stays within limits.</t>
        </is>
      </c>
      <c r="J22" s="29" t="inlineStr">
        <is>
          <t>Load</t>
        </is>
      </c>
      <c r="K22" s="29" t="inlineStr">
        <is>
          <t>k6, Grafana</t>
        </is>
      </c>
      <c r="L22" s="29" t="inlineStr">
        <is>
          <t>—</t>
        </is>
      </c>
      <c r="M22" s="29" t="inlineStr">
        <is>
          <t>Proposed</t>
        </is>
      </c>
    </row>
    <row r="23" ht="29.2" customHeight="1" s="12">
      <c r="A23" s="28" t="inlineStr">
        <is>
          <t>PG-MQ-01</t>
        </is>
      </c>
      <c r="B23" s="29" t="inlineStr">
        <is>
          <t>Message queue</t>
        </is>
      </c>
      <c r="C23" s="29" t="inlineStr">
        <is>
          <t>Duplicate processing (at-least-once)</t>
        </is>
      </c>
      <c r="D23" s="29" t="inlineStr">
        <is>
          <t>Same event delivered twice</t>
        </is>
      </c>
      <c r="E23" s="29" t="inlineStr">
        <is>
          <t>Edge</t>
        </is>
      </c>
      <c r="F23" s="29" t="inlineStr">
        <is>
          <t>P1</t>
        </is>
      </c>
      <c r="G23" s="29" t="inlineStr">
        <is>
          <t>Kafka / SQS consumer</t>
        </is>
      </c>
      <c r="H23" s="29" t="inlineStr">
        <is>
          <t>1. Publish payment.captured with event id E twice</t>
        </is>
      </c>
      <c r="I23" s="29" t="inlineStr">
        <is>
          <t>Consumer is idempotent (dedupe on E); side effects (email, ledger) happen once.</t>
        </is>
      </c>
      <c r="J23" s="29" t="inlineStr">
        <is>
          <t>Integration</t>
        </is>
      </c>
      <c r="K23" s="29" t="inlineStr">
        <is>
          <t>Testcontainers Kafka</t>
        </is>
      </c>
      <c r="L23" s="29" t="inlineStr">
        <is>
          <t>—</t>
        </is>
      </c>
      <c r="M23" s="29" t="inlineStr">
        <is>
          <t>Proposed</t>
        </is>
      </c>
    </row>
    <row r="24" ht="16.6" customHeight="1" s="12">
      <c r="A24" s="28" t="inlineStr">
        <is>
          <t>PG-MQ-02</t>
        </is>
      </c>
      <c r="B24" s="29" t="inlineStr">
        <is>
          <t>Message queue</t>
        </is>
      </c>
      <c r="C24" s="29" t="inlineStr">
        <is>
          <t>Out-of-order events</t>
        </is>
      </c>
      <c r="D24" s="29" t="inlineStr">
        <is>
          <t>Events for one payment keep their order</t>
        </is>
      </c>
      <c r="E24" s="29" t="inlineStr">
        <is>
          <t>Edge</t>
        </is>
      </c>
      <c r="F24" s="29" t="inlineStr">
        <is>
          <t>P1</t>
        </is>
      </c>
      <c r="G24" s="29" t="inlineStr">
        <is>
          <t>Partition key = payment id</t>
        </is>
      </c>
      <c r="H24" s="29" t="inlineStr">
        <is>
          <t>1. Publish authorized → captured → refunded quickly</t>
        </is>
      </c>
      <c r="I24" s="29" t="inlineStr">
        <is>
          <t>Consumed in order; final state REFUNDED.</t>
        </is>
      </c>
      <c r="J24" s="29" t="inlineStr">
        <is>
          <t>Integration</t>
        </is>
      </c>
      <c r="K24" s="29" t="inlineStr">
        <is>
          <t>Testcontainers Kafka</t>
        </is>
      </c>
      <c r="L24" s="29" t="inlineStr">
        <is>
          <t>—</t>
        </is>
      </c>
      <c r="M24" s="29" t="inlineStr">
        <is>
          <t>Proposed</t>
        </is>
      </c>
    </row>
    <row r="25" ht="29.2" customHeight="1" s="12">
      <c r="A25" s="28" t="inlineStr">
        <is>
          <t>PG-MQ-03</t>
        </is>
      </c>
      <c r="B25" s="29" t="inlineStr">
        <is>
          <t>Message queue</t>
        </is>
      </c>
      <c r="C25" s="29" t="inlineStr">
        <is>
          <t>Poison message blocks the queue</t>
        </is>
      </c>
      <c r="D25" s="29" t="inlineStr">
        <is>
          <t>Unprocessable message goes to the DLQ</t>
        </is>
      </c>
      <c r="E25" s="29" t="inlineStr">
        <is>
          <t>Negative</t>
        </is>
      </c>
      <c r="F25" s="29" t="inlineStr">
        <is>
          <t>P1</t>
        </is>
      </c>
      <c r="G25" s="29" t="inlineStr">
        <is>
          <t>Retry policy 3x with backoff</t>
        </is>
      </c>
      <c r="H25" s="29" t="inlineStr">
        <is>
          <t>1. Publish a malformed message
2. Publish valid messages after it</t>
        </is>
      </c>
      <c r="I25" s="29" t="inlineStr">
        <is>
          <t>Malformed one retried 3x then moved to DLQ with error metadata; valid messages keep flowing.</t>
        </is>
      </c>
      <c r="J25" s="29" t="inlineStr">
        <is>
          <t>Integration</t>
        </is>
      </c>
      <c r="K25" s="29" t="inlineStr">
        <is>
          <t>Testcontainers Kafka, LocalStack SQS</t>
        </is>
      </c>
      <c r="L25" s="29" t="inlineStr">
        <is>
          <t>—</t>
        </is>
      </c>
      <c r="M25" s="29" t="inlineStr">
        <is>
          <t>Proposed</t>
        </is>
      </c>
    </row>
    <row r="26" ht="29.2" customHeight="1" s="12">
      <c r="A26" s="28" t="inlineStr">
        <is>
          <t>PG-MQ-04</t>
        </is>
      </c>
      <c r="B26" s="29" t="inlineStr">
        <is>
          <t>Message queue</t>
        </is>
      </c>
      <c r="C26" s="29" t="inlineStr">
        <is>
          <t>Partial processing on crash</t>
        </is>
      </c>
      <c r="D26" s="29" t="inlineStr">
        <is>
          <t>Consumer crashes between DB write and ack</t>
        </is>
      </c>
      <c r="E26" s="29" t="inlineStr">
        <is>
          <t>Resilience</t>
        </is>
      </c>
      <c r="F26" s="29" t="inlineStr">
        <is>
          <t>P1</t>
        </is>
      </c>
      <c r="G26" s="29" t="inlineStr">
        <is>
          <t>Offset committed after DB commit</t>
        </is>
      </c>
      <c r="H26" s="29" t="inlineStr">
        <is>
          <t>1. Kill the consumer after the DB write, before commit</t>
        </is>
      </c>
      <c r="I26" s="29" t="inlineStr">
        <is>
          <t>Message redelivered; no duplicate row; no lost event.</t>
        </is>
      </c>
      <c r="J26" s="29" t="inlineStr">
        <is>
          <t>Chaos</t>
        </is>
      </c>
      <c r="K26" s="29" t="inlineStr">
        <is>
          <t>Testcontainers</t>
        </is>
      </c>
      <c r="L26" s="29" t="inlineStr">
        <is>
          <t>—</t>
        </is>
      </c>
      <c r="M26" s="29" t="inlineStr">
        <is>
          <t>Proposed</t>
        </is>
      </c>
    </row>
    <row r="27" ht="29.2" customHeight="1" s="12">
      <c r="A27" s="28" t="inlineStr">
        <is>
          <t>PG-MQ-05</t>
        </is>
      </c>
      <c r="B27" s="29" t="inlineStr">
        <is>
          <t>Message queue</t>
        </is>
      </c>
      <c r="C27" s="29" t="inlineStr">
        <is>
          <t>DB and events out of sync</t>
        </is>
      </c>
      <c r="D27" s="29" t="inlineStr">
        <is>
          <t>Transactional outbox keeps DB and events consistent</t>
        </is>
      </c>
      <c r="E27" s="29" t="inlineStr">
        <is>
          <t>Edge</t>
        </is>
      </c>
      <c r="F27" s="29" t="inlineStr">
        <is>
          <t>P1</t>
        </is>
      </c>
      <c r="G27" s="29" t="inlineStr">
        <is>
          <t>Outbox table + relay</t>
        </is>
      </c>
      <c r="H27" s="29" t="inlineStr">
        <is>
          <t>1. Fail the broker during publish
2. Roll back the DB transaction</t>
        </is>
      </c>
      <c r="I27" s="29" t="inlineStr">
        <is>
          <t>No event without a row and no row without an event; relay retries until delivered.</t>
        </is>
      </c>
      <c r="J27" s="29" t="inlineStr">
        <is>
          <t>Integration</t>
        </is>
      </c>
      <c r="K27" s="29" t="inlineStr">
        <is>
          <t>Testcontainers Postgres + Kafka</t>
        </is>
      </c>
      <c r="L27" s="29" t="inlineStr">
        <is>
          <t>—</t>
        </is>
      </c>
      <c r="M27" s="29" t="inlineStr">
        <is>
          <t>Proposed</t>
        </is>
      </c>
    </row>
    <row r="28" ht="29.2" customHeight="1" s="12">
      <c r="A28" s="28" t="inlineStr">
        <is>
          <t>PG-MQ-06</t>
        </is>
      </c>
      <c r="B28" s="29" t="inlineStr">
        <is>
          <t>Message queue</t>
        </is>
      </c>
      <c r="C28" s="29" t="inlineStr">
        <is>
          <t>Backlog under peak</t>
        </is>
      </c>
      <c r="D28" s="29" t="inlineStr">
        <is>
          <t>Consumer lag stays below SLA</t>
        </is>
      </c>
      <c r="E28" s="29" t="inlineStr">
        <is>
          <t>Performance</t>
        </is>
      </c>
      <c r="F28" s="29" t="inlineStr">
        <is>
          <t>P2</t>
        </is>
      </c>
      <c r="G28" s="29" t="inlineStr">
        <is>
          <t>Autoscaling consumers</t>
        </is>
      </c>
      <c r="H28" s="29" t="inlineStr">
        <is>
          <t>1. Publish 10x normal rate for 10 min</t>
        </is>
      </c>
      <c r="I28" s="29" t="inlineStr">
        <is>
          <t>Lag &lt; SLA (e.g. 30 s); backlog drained after the peak.</t>
        </is>
      </c>
      <c r="J28" s="29" t="inlineStr">
        <is>
          <t>Load</t>
        </is>
      </c>
      <c r="K28" s="29" t="inlineStr">
        <is>
          <t>k6, CloudWatch</t>
        </is>
      </c>
      <c r="L28" s="29" t="inlineStr">
        <is>
          <t>—</t>
        </is>
      </c>
      <c r="M28" s="29" t="inlineStr">
        <is>
          <t>Proposed</t>
        </is>
      </c>
    </row>
    <row r="29" ht="29.2" customHeight="1" s="12">
      <c r="A29" s="28" t="inlineStr">
        <is>
          <t>PG-MQ-07</t>
        </is>
      </c>
      <c r="B29" s="29" t="inlineStr">
        <is>
          <t>Message queue</t>
        </is>
      </c>
      <c r="C29" s="29" t="inlineStr">
        <is>
          <t>Breaking schema change</t>
        </is>
      </c>
      <c r="D29" s="29" t="inlineStr">
        <is>
          <t>Event schema evolution is backward compatible</t>
        </is>
      </c>
      <c r="E29" s="29" t="inlineStr">
        <is>
          <t>Negative</t>
        </is>
      </c>
      <c r="F29" s="29" t="inlineStr">
        <is>
          <t>P2</t>
        </is>
      </c>
      <c r="G29" s="29" t="inlineStr">
        <is>
          <t>Schema registry (BACKWARD)</t>
        </is>
      </c>
      <c r="H29" s="29" t="inlineStr">
        <is>
          <t>1. Register a schema with a new required field</t>
        </is>
      </c>
      <c r="I29" s="29" t="inlineStr">
        <is>
          <t>Registry rejects it; optional field accepted; old consumers keep working.</t>
        </is>
      </c>
      <c r="J29" s="29" t="inlineStr">
        <is>
          <t>Contract</t>
        </is>
      </c>
      <c r="K29" s="29" t="inlineStr">
        <is>
          <t>Schema Registry, ajv</t>
        </is>
      </c>
      <c r="L29" s="29" t="inlineStr">
        <is>
          <t>TC-CTR-003</t>
        </is>
      </c>
      <c r="M29" s="29" t="inlineStr">
        <is>
          <t>Proposed</t>
        </is>
      </c>
    </row>
    <row r="30" ht="29.2" customHeight="1" s="12">
      <c r="A30" s="28" t="inlineStr">
        <is>
          <t>PG-DB-01</t>
        </is>
      </c>
      <c r="B30" s="29" t="inlineStr">
        <is>
          <t>Database</t>
        </is>
      </c>
      <c r="C30" s="29" t="inlineStr">
        <is>
          <t>Half-done money movement</t>
        </is>
      </c>
      <c r="D30" s="29" t="inlineStr">
        <is>
          <t>Transaction atomicity on debit + credit</t>
        </is>
      </c>
      <c r="E30" s="29" t="inlineStr">
        <is>
          <t>Edge</t>
        </is>
      </c>
      <c r="F30" s="29" t="inlineStr">
        <is>
          <t>P1</t>
        </is>
      </c>
      <c r="G30" s="29" t="inlineStr">
        <is>
          <t>Fault injection after the debit</t>
        </is>
      </c>
      <c r="H30" s="29" t="inlineStr">
        <is>
          <t>1. Transfer A→B and fail after debiting A</t>
        </is>
      </c>
      <c r="I30" s="29" t="inlineStr">
        <is>
          <t>Both rolled back; balances unchanged; error returned.</t>
        </is>
      </c>
      <c r="J30" s="29" t="inlineStr">
        <is>
          <t>Integration</t>
        </is>
      </c>
      <c r="K30" s="29" t="inlineStr">
        <is>
          <t>Testcontainers Postgres</t>
        </is>
      </c>
      <c r="L30" s="29" t="inlineStr">
        <is>
          <t>—</t>
        </is>
      </c>
      <c r="M30" s="29" t="inlineStr">
        <is>
          <t>Proposed</t>
        </is>
      </c>
    </row>
    <row r="31" ht="41.8" customHeight="1" s="12">
      <c r="A31" s="28" t="inlineStr">
        <is>
          <t>PG-DB-02</t>
        </is>
      </c>
      <c r="B31" s="29" t="inlineStr">
        <is>
          <t>Database</t>
        </is>
      </c>
      <c r="C31" s="29" t="inlineStr">
        <is>
          <t>Duplicates / orphans</t>
        </is>
      </c>
      <c r="D31" s="29" t="inlineStr">
        <is>
          <t>DB constraints enforce integrity</t>
        </is>
      </c>
      <c r="E31" s="29" t="inlineStr">
        <is>
          <t>Negative</t>
        </is>
      </c>
      <c r="F31" s="29" t="inlineStr">
        <is>
          <t>P1</t>
        </is>
      </c>
      <c r="G31" s="29" t="inlineStr">
        <is>
          <t>Schema migrated</t>
        </is>
      </c>
      <c r="H31" s="29" t="inlineStr">
        <is>
          <t>1. Insert duplicate (merchant_id, idempotency_key)
2. Insert amount ≤ 0
3. Insert an orphan refund</t>
        </is>
      </c>
      <c r="I31" s="29" t="inlineStr">
        <is>
          <t>UNIQUE, CHECK and FK violations rejected by the DB itself.</t>
        </is>
      </c>
      <c r="J31" s="29" t="inlineStr">
        <is>
          <t>Integration</t>
        </is>
      </c>
      <c r="K31" s="29" t="inlineStr">
        <is>
          <t>Testcontainers Postgres</t>
        </is>
      </c>
      <c r="L31" s="29" t="inlineStr">
        <is>
          <t>—</t>
        </is>
      </c>
      <c r="M31" s="29" t="inlineStr">
        <is>
          <t>Proposed</t>
        </is>
      </c>
    </row>
    <row r="32" ht="29.2" customHeight="1" s="12">
      <c r="A32" s="28" t="inlineStr">
        <is>
          <t>PG-DB-03</t>
        </is>
      </c>
      <c r="B32" s="29" t="inlineStr">
        <is>
          <t>Database</t>
        </is>
      </c>
      <c r="C32" s="29" t="inlineStr">
        <is>
          <t>Precision loss</t>
        </is>
      </c>
      <c r="D32" s="29" t="inlineStr">
        <is>
          <t>Money columns are DECIMAL / BIGINT minor units, never FLOAT</t>
        </is>
      </c>
      <c r="E32" s="29" t="inlineStr">
        <is>
          <t>Functional</t>
        </is>
      </c>
      <c r="F32" s="29" t="inlineStr">
        <is>
          <t>P1</t>
        </is>
      </c>
      <c r="G32" s="29" t="inlineStr">
        <is>
          <t>Schema</t>
        </is>
      </c>
      <c r="H32" s="29" t="inlineStr">
        <is>
          <t>1. Review the schema
2. Round-trip boundary amounts</t>
        </is>
      </c>
      <c r="I32" s="29" t="inlineStr">
        <is>
          <t>No FLOAT/DOUBLE money columns; values round-trip exactly.</t>
        </is>
      </c>
      <c r="J32" s="29" t="inlineStr">
        <is>
          <t>Schema review</t>
        </is>
      </c>
      <c r="K32" s="29" t="inlineStr">
        <is>
          <t>SQL, Jest</t>
        </is>
      </c>
      <c r="L32" s="29" t="inlineStr">
        <is>
          <t>—</t>
        </is>
      </c>
      <c r="M32" s="29" t="inlineStr">
        <is>
          <t>Proposed</t>
        </is>
      </c>
    </row>
    <row r="33" ht="29.2" customHeight="1" s="12">
      <c r="A33" s="28" t="inlineStr">
        <is>
          <t>PG-DB-04</t>
        </is>
      </c>
      <c r="B33" s="29" t="inlineStr">
        <is>
          <t>Database</t>
        </is>
      </c>
      <c r="C33" s="29" t="inlineStr">
        <is>
          <t>Check-then-act race</t>
        </is>
      </c>
      <c r="D33" s="29" t="inlineStr">
        <is>
          <t>Balance check and debit under the right isolation</t>
        </is>
      </c>
      <c r="E33" s="29" t="inlineStr">
        <is>
          <t>Edge</t>
        </is>
      </c>
      <c r="F33" s="29" t="inlineStr">
        <is>
          <t>P1</t>
        </is>
      </c>
      <c r="G33" s="29" t="inlineStr">
        <is>
          <t>READ COMMITTED + SELECT … FOR UPDATE</t>
        </is>
      </c>
      <c r="H33" s="29" t="inlineStr">
        <is>
          <t>1. Run concurrent debits (see PG-CONC-01) against the real DB</t>
        </is>
      </c>
      <c r="I33" s="29" t="inlineStr">
        <is>
          <t>No overdraft; no deadlock storm; lock wait within budget.</t>
        </is>
      </c>
      <c r="J33" s="29" t="inlineStr">
        <is>
          <t>Integration</t>
        </is>
      </c>
      <c r="K33" s="29" t="inlineStr">
        <is>
          <t>Testcontainers Postgres, k6</t>
        </is>
      </c>
      <c r="L33" s="29" t="inlineStr">
        <is>
          <t>—</t>
        </is>
      </c>
      <c r="M33" s="29" t="inlineStr">
        <is>
          <t>Proposed</t>
        </is>
      </c>
    </row>
    <row r="34" ht="29.2" customHeight="1" s="12">
      <c r="A34" s="28" t="inlineStr">
        <is>
          <t>PG-DB-05</t>
        </is>
      </c>
      <c r="B34" s="29" t="inlineStr">
        <is>
          <t>Database</t>
        </is>
      </c>
      <c r="C34" s="29" t="inlineStr">
        <is>
          <t>Migration breaks prod</t>
        </is>
      </c>
      <c r="D34" s="29" t="inlineStr">
        <is>
          <t>Zero-downtime migration (expand / contract) on prod-like volume</t>
        </is>
      </c>
      <c r="E34" s="29" t="inlineStr">
        <is>
          <t>Resilience</t>
        </is>
      </c>
      <c r="F34" s="29" t="inlineStr">
        <is>
          <t>P1</t>
        </is>
      </c>
      <c r="G34" s="29" t="inlineStr">
        <is>
          <t>Snapshot with prod-like volume</t>
        </is>
      </c>
      <c r="H34" s="29" t="inlineStr">
        <is>
          <t>1. Apply migration while traffic runs
2. Roll back</t>
        </is>
      </c>
      <c r="I34" s="29" t="inlineStr">
        <is>
          <t>No downtime or lock timeouts; old and new app versions both work; rollback is clean.</t>
        </is>
      </c>
      <c r="J34" s="29" t="inlineStr">
        <is>
          <t>Integration</t>
        </is>
      </c>
      <c r="K34" s="29" t="inlineStr">
        <is>
          <t>Flyway / Liquibase, Testcontainers</t>
        </is>
      </c>
      <c r="L34" s="29" t="inlineStr">
        <is>
          <t>—</t>
        </is>
      </c>
      <c r="M34" s="29" t="inlineStr">
        <is>
          <t>Proposed</t>
        </is>
      </c>
    </row>
    <row r="35" ht="29.2" customHeight="1" s="12">
      <c r="A35" s="28" t="inlineStr">
        <is>
          <t>PG-DB-06</t>
        </is>
      </c>
      <c r="B35" s="29" t="inlineStr">
        <is>
          <t>Database</t>
        </is>
      </c>
      <c r="C35" s="29" t="inlineStr">
        <is>
          <t>Slow queries at scale</t>
        </is>
      </c>
      <c r="D35" s="29" t="inlineStr">
        <is>
          <t>Payment lookups meet latency budgets at prod volume</t>
        </is>
      </c>
      <c r="E35" s="29" t="inlineStr">
        <is>
          <t>Performance</t>
        </is>
      </c>
      <c r="F35" s="29" t="inlineStr">
        <is>
          <t>P2</t>
        </is>
      </c>
      <c r="G35" s="29" t="inlineStr">
        <is>
          <t>50M payments seeded</t>
        </is>
      </c>
      <c r="H35" s="29" t="inlineStr">
        <is>
          <t>1. Query by id, merchant + date range, status</t>
        </is>
      </c>
      <c r="I35" s="29" t="inlineStr">
        <is>
          <t>p95 within budget; EXPLAIN shows index use; no full scans.</t>
        </is>
      </c>
      <c r="J35" s="29" t="inlineStr">
        <is>
          <t>Load</t>
        </is>
      </c>
      <c r="K35" s="29" t="inlineStr">
        <is>
          <t>k6, pg_stat_statements</t>
        </is>
      </c>
      <c r="L35" s="29" t="inlineStr">
        <is>
          <t>—</t>
        </is>
      </c>
      <c r="M35" s="29" t="inlineStr">
        <is>
          <t>Proposed</t>
        </is>
      </c>
    </row>
    <row r="36" ht="29.2" customHeight="1" s="12">
      <c r="A36" s="28" t="inlineStr">
        <is>
          <t>PG-DB-07</t>
        </is>
      </c>
      <c r="B36" s="29" t="inlineStr">
        <is>
          <t>Database</t>
        </is>
      </c>
      <c r="C36" s="29" t="inlineStr">
        <is>
          <t>Tampered history</t>
        </is>
      </c>
      <c r="D36" s="29" t="inlineStr">
        <is>
          <t>Ledger / audit trail is append-only</t>
        </is>
      </c>
      <c r="E36" s="29" t="inlineStr">
        <is>
          <t>Security</t>
        </is>
      </c>
      <c r="F36" s="29" t="inlineStr">
        <is>
          <t>P1</t>
        </is>
      </c>
      <c r="G36" s="29" t="inlineStr">
        <is>
          <t>App DB role</t>
        </is>
      </c>
      <c r="H36" s="29" t="inlineStr">
        <is>
          <t>1. Try UPDATE / DELETE on the ledger as the app role</t>
        </is>
      </c>
      <c r="I36" s="29" t="inlineStr">
        <is>
          <t>Denied; every state change has an audit row with actor and timestamp.</t>
        </is>
      </c>
      <c r="J36" s="29" t="inlineStr">
        <is>
          <t>Integration</t>
        </is>
      </c>
      <c r="K36" s="29" t="inlineStr">
        <is>
          <t>SQL</t>
        </is>
      </c>
      <c r="L36" s="29" t="inlineStr">
        <is>
          <t>—</t>
        </is>
      </c>
      <c r="M36" s="29" t="inlineStr">
        <is>
          <t>Proposed</t>
        </is>
      </c>
    </row>
    <row r="37" ht="29.2" customHeight="1" s="12">
      <c r="A37" s="28" t="inlineStr">
        <is>
          <t>PG-DB-08</t>
        </is>
      </c>
      <c r="B37" s="29" t="inlineStr">
        <is>
          <t>Database</t>
        </is>
      </c>
      <c r="C37" s="29" t="inlineStr">
        <is>
          <t>Card data exposure</t>
        </is>
      </c>
      <c r="D37" s="29" t="inlineStr">
        <is>
          <t>PAN is never stored in clear text</t>
        </is>
      </c>
      <c r="E37" s="29" t="inlineStr">
        <is>
          <t>Security</t>
        </is>
      </c>
      <c r="F37" s="29" t="inlineStr">
        <is>
          <t>P1</t>
        </is>
      </c>
      <c r="G37" s="29" t="inlineStr">
        <is>
          <t>Tokenisation service</t>
        </is>
      </c>
      <c r="H37" s="29" t="inlineStr">
        <is>
          <t>1. Pay with a test card
2. Search DB, logs and backups for the PAN</t>
        </is>
      </c>
      <c r="I37" s="29" t="inlineStr">
        <is>
          <t>Only token / last 4 stored; encrypted at rest (KMS).</t>
        </is>
      </c>
      <c r="J37" s="29" t="inlineStr">
        <is>
          <t>Security</t>
        </is>
      </c>
      <c r="K37" s="29" t="inlineStr">
        <is>
          <t>SQL, log search</t>
        </is>
      </c>
      <c r="L37" s="29" t="inlineStr">
        <is>
          <t>TC-ORDER-014</t>
        </is>
      </c>
      <c r="M37" s="29" t="inlineStr">
        <is>
          <t>Proposed</t>
        </is>
      </c>
    </row>
    <row r="38" ht="29.2" customHeight="1" s="12">
      <c r="A38" s="28" t="inlineStr">
        <is>
          <t>PG-AWS-01</t>
        </is>
      </c>
      <c r="B38" s="29" t="inlineStr">
        <is>
          <t>AWS</t>
        </is>
      </c>
      <c r="C38" s="29" t="inlineStr">
        <is>
          <t>Capacity during spikes</t>
        </is>
      </c>
      <c r="D38" s="29" t="inlineStr">
        <is>
          <t>Auto Scaling reacts before the SLA is breached</t>
        </is>
      </c>
      <c r="E38" s="29" t="inlineStr">
        <is>
          <t>Performance</t>
        </is>
      </c>
      <c r="F38" s="29" t="inlineStr">
        <is>
          <t>P1</t>
        </is>
      </c>
      <c r="G38" s="29" t="inlineStr">
        <is>
          <t>ECS/EKS or ASG with target tracking</t>
        </is>
      </c>
      <c r="H38" s="29" t="inlineStr">
        <is>
          <t>1. Run k6 spike 10x
2. Watch scaling events and latency</t>
        </is>
      </c>
      <c r="I38" s="29" t="inlineStr">
        <is>
          <t>New tasks healthy before p95 breaches SLA; scale-in drains connections without errors.</t>
        </is>
      </c>
      <c r="J38" s="29" t="inlineStr">
        <is>
          <t>Load</t>
        </is>
      </c>
      <c r="K38" s="29" t="inlineStr">
        <is>
          <t>k6, CloudWatch</t>
        </is>
      </c>
      <c r="L38" s="29" t="inlineStr">
        <is>
          <t>TC-K6-003</t>
        </is>
      </c>
      <c r="M38" s="29" t="inlineStr">
        <is>
          <t>Proposed</t>
        </is>
      </c>
    </row>
    <row r="39" ht="29.2" customHeight="1" s="12">
      <c r="A39" s="28" t="inlineStr">
        <is>
          <t>PG-AWS-02</t>
        </is>
      </c>
      <c r="B39" s="29" t="inlineStr">
        <is>
          <t>AWS</t>
        </is>
      </c>
      <c r="C39" s="29" t="inlineStr">
        <is>
          <t>Zone failure</t>
        </is>
      </c>
      <c r="D39" s="29" t="inlineStr">
        <is>
          <t>Multi-AZ failover (app + RDS)</t>
        </is>
      </c>
      <c r="E39" s="29" t="inlineStr">
        <is>
          <t>Resilience</t>
        </is>
      </c>
      <c r="F39" s="29" t="inlineStr">
        <is>
          <t>P1</t>
        </is>
      </c>
      <c r="G39" s="29" t="inlineStr">
        <is>
          <t>Staging in 2+ AZs</t>
        </is>
      </c>
      <c r="H39" s="29" t="inlineStr">
        <is>
          <t>1. Inject AZ failure / force RDS failover during load</t>
        </is>
      </c>
      <c r="I39" s="29" t="inlineStr">
        <is>
          <t>Error rate below threshold; recovery within RTO; no data loss beyond RPO.</t>
        </is>
      </c>
      <c r="J39" s="29" t="inlineStr">
        <is>
          <t>Chaos</t>
        </is>
      </c>
      <c r="K39" s="29" t="inlineStr">
        <is>
          <t>AWS FIS, k6</t>
        </is>
      </c>
      <c r="L39" s="29" t="inlineStr">
        <is>
          <t>—</t>
        </is>
      </c>
      <c r="M39" s="29" t="inlineStr">
        <is>
          <t>Proposed</t>
        </is>
      </c>
    </row>
    <row r="40" ht="29.2" customHeight="1" s="12">
      <c r="A40" s="28" t="inlineStr">
        <is>
          <t>PG-AWS-03</t>
        </is>
      </c>
      <c r="B40" s="29" t="inlineStr">
        <is>
          <t>AWS</t>
        </is>
      </c>
      <c r="C40" s="29" t="inlineStr">
        <is>
          <t>Queue misconfiguration</t>
        </is>
      </c>
      <c r="D40" s="29" t="inlineStr">
        <is>
          <t>SQS visibility timeout and DLQ redrive policy</t>
        </is>
      </c>
      <c r="E40" s="29" t="inlineStr">
        <is>
          <t>Functional</t>
        </is>
      </c>
      <c r="F40" s="29" t="inlineStr">
        <is>
          <t>P2</t>
        </is>
      </c>
      <c r="G40" s="29" t="inlineStr">
        <is>
          <t>LocalStack SQS</t>
        </is>
      </c>
      <c r="H40" s="29" t="inlineStr">
        <is>
          <t>1. Consumer exceeds the visibility timeout
2. Message fails maxReceiveCount times</t>
        </is>
      </c>
      <c r="I40" s="29" t="inlineStr">
        <is>
          <t>Message not processed twice in parallel; moved to DLQ after max receives.</t>
        </is>
      </c>
      <c r="J40" s="29" t="inlineStr">
        <is>
          <t>Integration</t>
        </is>
      </c>
      <c r="K40" s="29" t="inlineStr">
        <is>
          <t>LocalStack</t>
        </is>
      </c>
      <c r="L40" s="29" t="inlineStr">
        <is>
          <t>—</t>
        </is>
      </c>
      <c r="M40" s="29" t="inlineStr">
        <is>
          <t>Proposed</t>
        </is>
      </c>
    </row>
    <row r="41" ht="29.2" customHeight="1" s="12">
      <c r="A41" s="28" t="inlineStr">
        <is>
          <t>PG-AWS-04</t>
        </is>
      </c>
      <c r="B41" s="29" t="inlineStr">
        <is>
          <t>AWS</t>
        </is>
      </c>
      <c r="C41" s="29" t="inlineStr">
        <is>
          <t>Leaked secrets</t>
        </is>
      </c>
      <c r="D41" s="29" t="inlineStr">
        <is>
          <t>Secrets Manager / KMS key rotation</t>
        </is>
      </c>
      <c r="E41" s="29" t="inlineStr">
        <is>
          <t>Security</t>
        </is>
      </c>
      <c r="F41" s="29" t="inlineStr">
        <is>
          <t>P1</t>
        </is>
      </c>
      <c r="G41" s="29" t="inlineStr">
        <is>
          <t>Rotation enabled</t>
        </is>
      </c>
      <c r="H41" s="29" t="inlineStr">
        <is>
          <t>1. Rotate the DB password and signing key during traffic</t>
        </is>
      </c>
      <c r="I41" s="29" t="inlineStr">
        <is>
          <t>No downtime; no secrets in env dumps, logs or images.</t>
        </is>
      </c>
      <c r="J41" s="29" t="inlineStr">
        <is>
          <t>Integration</t>
        </is>
      </c>
      <c r="K41" s="29" t="inlineStr">
        <is>
          <t>LocalStack, trufflehog</t>
        </is>
      </c>
      <c r="L41" s="29" t="inlineStr">
        <is>
          <t>—</t>
        </is>
      </c>
      <c r="M41" s="29" t="inlineStr">
        <is>
          <t>Proposed</t>
        </is>
      </c>
    </row>
    <row r="42" ht="29.2" customHeight="1" s="12">
      <c r="A42" s="28" t="inlineStr">
        <is>
          <t>PG-AWS-05</t>
        </is>
      </c>
      <c r="B42" s="29" t="inlineStr">
        <is>
          <t>AWS</t>
        </is>
      </c>
      <c r="C42" s="29" t="inlineStr">
        <is>
          <t>Over-privileged roles</t>
        </is>
      </c>
      <c r="D42" s="29" t="inlineStr">
        <is>
          <t>IAM least privilege</t>
        </is>
      </c>
      <c r="E42" s="29" t="inlineStr">
        <is>
          <t>Security</t>
        </is>
      </c>
      <c r="F42" s="29" t="inlineStr">
        <is>
          <t>P1</t>
        </is>
      </c>
      <c r="G42" s="29" t="inlineStr">
        <is>
          <t>Service roles</t>
        </is>
      </c>
      <c r="H42" s="29" t="inlineStr">
        <is>
          <t>1. Use the service role to access another service's bucket / queue</t>
        </is>
      </c>
      <c r="I42" s="29" t="inlineStr">
        <is>
          <t>AccessDenied; IAM Access Analyzer shows no public / cross-account access.</t>
        </is>
      </c>
      <c r="J42" s="29" t="inlineStr">
        <is>
          <t>Security</t>
        </is>
      </c>
      <c r="K42" s="29" t="inlineStr">
        <is>
          <t>IAM Policy Simulator</t>
        </is>
      </c>
      <c r="L42" s="29" t="inlineStr">
        <is>
          <t>—</t>
        </is>
      </c>
      <c r="M42" s="29" t="inlineStr">
        <is>
          <t>Proposed</t>
        </is>
      </c>
    </row>
    <row r="43" ht="29.2" customHeight="1" s="12">
      <c r="A43" s="28" t="inlineStr">
        <is>
          <t>PG-AWS-06</t>
        </is>
      </c>
      <c r="B43" s="29" t="inlineStr">
        <is>
          <t>AWS</t>
        </is>
      </c>
      <c r="C43" s="29" t="inlineStr">
        <is>
          <t>Settlement files exposed</t>
        </is>
      </c>
      <c r="D43" s="29" t="inlineStr">
        <is>
          <t>S3 settlement bucket is encrypted and private</t>
        </is>
      </c>
      <c r="E43" s="29" t="inlineStr">
        <is>
          <t>Security</t>
        </is>
      </c>
      <c r="F43" s="29" t="inlineStr">
        <is>
          <t>P2</t>
        </is>
      </c>
      <c r="G43" s="29" t="inlineStr">
        <is>
          <t>S3 bucket</t>
        </is>
      </c>
      <c r="H43" s="29" t="inlineStr">
        <is>
          <t>1. Check encryption, public access block, lifecycle and access logs</t>
        </is>
      </c>
      <c r="I43" s="29" t="inlineStr">
        <is>
          <t>SSE-KMS on; public access blocked; logs enabled; lifecycle per retention policy.</t>
        </is>
      </c>
      <c r="J43" s="29" t="inlineStr">
        <is>
          <t>Config audit</t>
        </is>
      </c>
      <c r="K43" s="29" t="inlineStr">
        <is>
          <t>AWS Config, LocalStack</t>
        </is>
      </c>
      <c r="L43" s="29" t="inlineStr">
        <is>
          <t>—</t>
        </is>
      </c>
      <c r="M43" s="29" t="inlineStr">
        <is>
          <t>Proposed</t>
        </is>
      </c>
    </row>
    <row r="44" ht="29.2" customHeight="1" s="12">
      <c r="A44" s="28" t="inlineStr">
        <is>
          <t>PG-AWS-07</t>
        </is>
      </c>
      <c r="B44" s="29" t="inlineStr">
        <is>
          <t>AWS</t>
        </is>
      </c>
      <c r="C44" s="29" t="inlineStr">
        <is>
          <t>Silent failures</t>
        </is>
      </c>
      <c r="D44" s="29" t="inlineStr">
        <is>
          <t>Alarms fire on key signals</t>
        </is>
      </c>
      <c r="E44" s="29" t="inlineStr">
        <is>
          <t>Resilience</t>
        </is>
      </c>
      <c r="F44" s="29" t="inlineStr">
        <is>
          <t>P2</t>
        </is>
      </c>
      <c r="G44" s="29" t="inlineStr">
        <is>
          <t>CloudWatch alarms</t>
        </is>
      </c>
      <c r="H44" s="29" t="inlineStr">
        <is>
          <t>1. Push error rate, p99, DLQ depth and consumer lag over thresholds</t>
        </is>
      </c>
      <c r="I44" s="29" t="inlineStr">
        <is>
          <t>Each alarm fires and pages on-call within the target time.</t>
        </is>
      </c>
      <c r="J44" s="29" t="inlineStr">
        <is>
          <t>Ops</t>
        </is>
      </c>
      <c r="K44" s="29" t="inlineStr">
        <is>
          <t>CloudWatch, synthetic load</t>
        </is>
      </c>
      <c r="L44" s="29" t="inlineStr">
        <is>
          <t>—</t>
        </is>
      </c>
      <c r="M44" s="29" t="inlineStr">
        <is>
          <t>Proposed</t>
        </is>
      </c>
    </row>
    <row r="45" ht="16.6" customHeight="1" s="12">
      <c r="A45" s="28" t="inlineStr">
        <is>
          <t>PG-AWS-08</t>
        </is>
      </c>
      <c r="B45" s="29" t="inlineStr">
        <is>
          <t>AWS</t>
        </is>
      </c>
      <c r="C45" s="29" t="inlineStr">
        <is>
          <t>Unrecoverable data</t>
        </is>
      </c>
      <c r="D45" s="29" t="inlineStr">
        <is>
          <t>RDS point-in-time restore</t>
        </is>
      </c>
      <c r="E45" s="29" t="inlineStr">
        <is>
          <t>Resilience</t>
        </is>
      </c>
      <c r="F45" s="29" t="inlineStr">
        <is>
          <t>P2</t>
        </is>
      </c>
      <c r="G45" s="29" t="inlineStr">
        <is>
          <t>Automated backups</t>
        </is>
      </c>
      <c r="H45" s="29" t="inlineStr">
        <is>
          <t>1. Restore to a point 10 min ago in an isolated account</t>
        </is>
      </c>
      <c r="I45" s="29" t="inlineStr">
        <is>
          <t>Restore succeeds within RTO; data matches up to RPO.</t>
        </is>
      </c>
      <c r="J45" s="29" t="inlineStr">
        <is>
          <t>Ops</t>
        </is>
      </c>
      <c r="K45" s="29" t="inlineStr">
        <is>
          <t>AWS RDS</t>
        </is>
      </c>
      <c r="L45" s="29" t="inlineStr">
        <is>
          <t>—</t>
        </is>
      </c>
      <c r="M45" s="29" t="inlineStr">
        <is>
          <t>Proposed</t>
        </is>
      </c>
    </row>
    <row r="46" ht="29.2" customHeight="1" s="12">
      <c r="A46" s="28" t="inlineStr">
        <is>
          <t>PG-INT-01</t>
        </is>
      </c>
      <c r="B46" s="29" t="inlineStr">
        <is>
          <t>API integration</t>
        </is>
      </c>
      <c r="C46" s="29" t="inlineStr">
        <is>
          <t>Partner contract drift</t>
        </is>
      </c>
      <c r="D46" s="29" t="inlineStr">
        <is>
          <t>Request / response schemas match the partner contract</t>
        </is>
      </c>
      <c r="E46" s="29" t="inlineStr">
        <is>
          <t>Functional</t>
        </is>
      </c>
      <c r="F46" s="29" t="inlineStr">
        <is>
          <t>P1</t>
        </is>
      </c>
      <c r="G46" s="29" t="inlineStr">
        <is>
          <t>Partner sandbox or Pact broker</t>
        </is>
      </c>
      <c r="H46" s="29" t="inlineStr">
        <is>
          <t>1. Validate every request and response against JSON Schema / Pact</t>
        </is>
      </c>
      <c r="I46" s="29" t="inlineStr">
        <is>
          <t>No unknown, missing or wrongly-typed fields; CI fails on drift.</t>
        </is>
      </c>
      <c r="J46" s="29" t="inlineStr">
        <is>
          <t>Contract</t>
        </is>
      </c>
      <c r="K46" s="29" t="inlineStr">
        <is>
          <t>ajv, Pact</t>
        </is>
      </c>
      <c r="L46" s="29" t="inlineStr">
        <is>
          <t>TC-CTR-001 – TC-CTR-005</t>
        </is>
      </c>
      <c r="M46" s="29" t="inlineStr">
        <is>
          <t>Proposed</t>
        </is>
      </c>
    </row>
    <row r="47" ht="29.2" customHeight="1" s="12">
      <c r="A47" s="28" t="inlineStr">
        <is>
          <t>PG-INT-02</t>
        </is>
      </c>
      <c r="B47" s="29" t="inlineStr">
        <is>
          <t>API integration</t>
        </is>
      </c>
      <c r="C47" s="29" t="inlineStr">
        <is>
          <t>Partner errors cascade</t>
        </is>
      </c>
      <c r="D47" s="29" t="inlineStr">
        <is>
          <t>Retries with backoff + jitter and a circuit breaker</t>
        </is>
      </c>
      <c r="E47" s="29" t="inlineStr">
        <is>
          <t>Resilience</t>
        </is>
      </c>
      <c r="F47" s="29" t="inlineStr">
        <is>
          <t>P1</t>
        </is>
      </c>
      <c r="G47" s="29" t="inlineStr">
        <is>
          <t>WireMock returns 503</t>
        </is>
      </c>
      <c r="H47" s="29" t="inlineStr">
        <is>
          <t>1. Partner returns 503 for 1 min
2. Partner recovers</t>
        </is>
      </c>
      <c r="I47" s="29" t="inlineStr">
        <is>
          <t>Retries bounded; circuit opens then half-opens; no retry storm; recovers automatically.</t>
        </is>
      </c>
      <c r="J47" s="29" t="inlineStr">
        <is>
          <t>Integration</t>
        </is>
      </c>
      <c r="K47" s="29" t="inlineStr">
        <is>
          <t>WireMock, Toxiproxy</t>
        </is>
      </c>
      <c r="L47" s="29" t="inlineStr">
        <is>
          <t>—</t>
        </is>
      </c>
      <c r="M47" s="29" t="inlineStr">
        <is>
          <t>Proposed</t>
        </is>
      </c>
    </row>
    <row r="48" ht="29.2" customHeight="1" s="12">
      <c r="A48" s="28" t="inlineStr">
        <is>
          <t>PG-INT-03</t>
        </is>
      </c>
      <c r="B48" s="29" t="inlineStr">
        <is>
          <t>API integration</t>
        </is>
      </c>
      <c r="C48" s="29" t="inlineStr">
        <is>
          <t>Thread / connection exhaustion</t>
        </is>
      </c>
      <c r="D48" s="29" t="inlineStr">
        <is>
          <t>Slow partner responses</t>
        </is>
      </c>
      <c r="E48" s="29" t="inlineStr">
        <is>
          <t>Resilience</t>
        </is>
      </c>
      <c r="F48" s="29" t="inlineStr">
        <is>
          <t>P1</t>
        </is>
      </c>
      <c r="G48" s="29" t="inlineStr">
        <is>
          <t>WireMock adds 20 s latency</t>
        </is>
      </c>
      <c r="H48" s="29" t="inlineStr">
        <is>
          <t>1. Run normal load while the partner is slow</t>
        </is>
      </c>
      <c r="I48" s="29" t="inlineStr">
        <is>
          <t>Our timeout &lt; upstream timeout; pools not exhausted; other merchants unaffected (bulkhead).</t>
        </is>
      </c>
      <c r="J48" s="29" t="inlineStr">
        <is>
          <t>Load</t>
        </is>
      </c>
      <c r="K48" s="29" t="inlineStr">
        <is>
          <t>WireMock, k6</t>
        </is>
      </c>
      <c r="L48" s="29" t="inlineStr">
        <is>
          <t>—</t>
        </is>
      </c>
      <c r="M48" s="29" t="inlineStr">
        <is>
          <t>Proposed</t>
        </is>
      </c>
    </row>
    <row r="49" ht="29.2" customHeight="1" s="12">
      <c r="A49" s="28" t="inlineStr">
        <is>
          <t>PG-INT-04</t>
        </is>
      </c>
      <c r="B49" s="29" t="inlineStr">
        <is>
          <t>API integration</t>
        </is>
      </c>
      <c r="C49" s="29" t="inlineStr">
        <is>
          <t>Auth token expiry</t>
        </is>
      </c>
      <c r="D49" s="29" t="inlineStr">
        <is>
          <t>Partner OAuth token expires mid-flow</t>
        </is>
      </c>
      <c r="E49" s="29" t="inlineStr">
        <is>
          <t>Edge</t>
        </is>
      </c>
      <c r="F49" s="29" t="inlineStr">
        <is>
          <t>P2</t>
        </is>
      </c>
      <c r="G49" s="29" t="inlineStr">
        <is>
          <t>Short-lived token</t>
        </is>
      </c>
      <c r="H49" s="29" t="inlineStr">
        <is>
          <t>1. Let the token expire between authorize and capture</t>
        </is>
      </c>
      <c r="I49" s="29" t="inlineStr">
        <is>
          <t>Token refreshed and the call retried once; no duplicate charge.</t>
        </is>
      </c>
      <c r="J49" s="29" t="inlineStr">
        <is>
          <t>Integration</t>
        </is>
      </c>
      <c r="K49" s="29" t="inlineStr">
        <is>
          <t>WireMock</t>
        </is>
      </c>
      <c r="L49" s="29" t="inlineStr">
        <is>
          <t>—</t>
        </is>
      </c>
      <c r="M49" s="29" t="inlineStr">
        <is>
          <t>Proposed</t>
        </is>
      </c>
    </row>
    <row r="50" ht="29.2" customHeight="1" s="12">
      <c r="A50" s="28" t="inlineStr">
        <is>
          <t>PG-INT-05</t>
        </is>
      </c>
      <c r="B50" s="29" t="inlineStr">
        <is>
          <t>API integration</t>
        </is>
      </c>
      <c r="C50" s="29" t="inlineStr">
        <is>
          <t>Partner throttling</t>
        </is>
      </c>
      <c r="D50" s="29" t="inlineStr">
        <is>
          <t>Partner returns 429</t>
        </is>
      </c>
      <c r="E50" s="29" t="inlineStr">
        <is>
          <t>Negative</t>
        </is>
      </c>
      <c r="F50" s="29" t="inlineStr">
        <is>
          <t>P2</t>
        </is>
      </c>
      <c r="G50" s="29" t="inlineStr">
        <is>
          <t>WireMock returns 429 + Retry-After</t>
        </is>
      </c>
      <c r="H50" s="29" t="inlineStr">
        <is>
          <t>1. Exceed the partner rate limit</t>
        </is>
      </c>
      <c r="I50" s="29" t="inlineStr">
        <is>
          <t>Client waits per Retry-After; queue absorbs the burst; no data loss.</t>
        </is>
      </c>
      <c r="J50" s="29" t="inlineStr">
        <is>
          <t>Integration</t>
        </is>
      </c>
      <c r="K50" s="29" t="inlineStr">
        <is>
          <t>WireMock</t>
        </is>
      </c>
      <c r="L50" s="29" t="inlineStr">
        <is>
          <t>—</t>
        </is>
      </c>
      <c r="M50" s="29" t="inlineStr">
        <is>
          <t>Proposed</t>
        </is>
      </c>
    </row>
    <row r="51" ht="29.2" customHeight="1" s="12">
      <c r="A51" s="28" t="inlineStr">
        <is>
          <t>PG-INT-06</t>
        </is>
      </c>
      <c r="B51" s="29" t="inlineStr">
        <is>
          <t>API integration</t>
        </is>
      </c>
      <c r="C51" s="29" t="inlineStr">
        <is>
          <t>Wrong error semantics</t>
        </is>
      </c>
      <c r="D51" s="29" t="inlineStr">
        <is>
          <t>Partner codes mapped to documented errors and HTTP status</t>
        </is>
      </c>
      <c r="E51" s="29" t="inlineStr">
        <is>
          <t>Negative</t>
        </is>
      </c>
      <c r="F51" s="29" t="inlineStr">
        <is>
          <t>P2</t>
        </is>
      </c>
      <c r="G51" s="29" t="inlineStr">
        <is>
          <t>Error catalogue</t>
        </is>
      </c>
      <c r="H51" s="29" t="inlineStr">
        <is>
          <t>1. Replay each partner decline / error code</t>
        </is>
      </c>
      <c r="I51" s="29" t="inlineStr">
        <is>
          <t>Correct 4xx/5xx and error code to the merchant; retriable vs non-retriable flagged.</t>
        </is>
      </c>
      <c r="J51" s="29" t="inlineStr">
        <is>
          <t>API</t>
        </is>
      </c>
      <c r="K51" s="29" t="inlineStr">
        <is>
          <t>Playwright API</t>
        </is>
      </c>
      <c r="L51" s="29" t="inlineStr">
        <is>
          <t>TC-CTR-006</t>
        </is>
      </c>
      <c r="M51" s="29" t="inlineStr">
        <is>
          <t>Proposed</t>
        </is>
      </c>
    </row>
    <row r="52" ht="16.6" customHeight="1" s="12">
      <c r="A52" s="28" t="inlineStr">
        <is>
          <t>PG-SEC-01</t>
        </is>
      </c>
      <c r="B52" s="29" t="inlineStr">
        <is>
          <t>Security</t>
        </is>
      </c>
      <c r="C52" s="29" t="inlineStr">
        <is>
          <t>IDOR</t>
        </is>
      </c>
      <c r="D52" s="29" t="inlineStr">
        <is>
          <t>Merchant A cannot access merchant B's payments</t>
        </is>
      </c>
      <c r="E52" s="29" t="inlineStr">
        <is>
          <t>Security</t>
        </is>
      </c>
      <c r="F52" s="29" t="inlineStr">
        <is>
          <t>P1</t>
        </is>
      </c>
      <c r="G52" s="29" t="inlineStr">
        <is>
          <t>Two merchants</t>
        </is>
      </c>
      <c r="H52" s="29" t="inlineStr">
        <is>
          <t>1. GET / refund B's payment id with A's credentials</t>
        </is>
      </c>
      <c r="I52" s="29" t="inlineStr">
        <is>
          <t>403/404; no data leaked; attempt logged.</t>
        </is>
      </c>
      <c r="J52" s="29" t="inlineStr">
        <is>
          <t>API</t>
        </is>
      </c>
      <c r="K52" s="29" t="inlineStr">
        <is>
          <t>Playwright API, OWASP ZAP</t>
        </is>
      </c>
      <c r="L52" s="29" t="inlineStr">
        <is>
          <t>TC-CART-003</t>
        </is>
      </c>
      <c r="M52" s="29" t="inlineStr">
        <is>
          <t>Proposed</t>
        </is>
      </c>
    </row>
    <row r="53" ht="29.2" customHeight="1" s="12">
      <c r="A53" s="28" t="inlineStr">
        <is>
          <t>PG-SEC-02</t>
        </is>
      </c>
      <c r="B53" s="29" t="inlineStr">
        <is>
          <t>Security</t>
        </is>
      </c>
      <c r="C53" s="29" t="inlineStr">
        <is>
          <t>Amount tampering</t>
        </is>
      </c>
      <c r="D53" s="29" t="inlineStr">
        <is>
          <t>Client-sent amount is not trusted</t>
        </is>
      </c>
      <c r="E53" s="29" t="inlineStr">
        <is>
          <t>Security</t>
        </is>
      </c>
      <c r="F53" s="29" t="inlineStr">
        <is>
          <t>P1</t>
        </is>
      </c>
      <c r="G53" s="29" t="inlineStr">
        <is>
          <t>Order 500,000 VND</t>
        </is>
      </c>
      <c r="H53" s="29" t="inlineStr">
        <is>
          <t>1. Change the amount to 1 in the request (proxy)</t>
        </is>
      </c>
      <c r="I53" s="29" t="inlineStr">
        <is>
          <t>Server uses the order amount or rejects; payment not created for 1.</t>
        </is>
      </c>
      <c r="J53" s="29" t="inlineStr">
        <is>
          <t>API</t>
        </is>
      </c>
      <c r="K53" s="29" t="inlineStr">
        <is>
          <t>Burp / ZAP, Playwright</t>
        </is>
      </c>
      <c r="L53" s="29" t="inlineStr">
        <is>
          <t>—</t>
        </is>
      </c>
      <c r="M53" s="29" t="inlineStr">
        <is>
          <t>Proposed</t>
        </is>
      </c>
    </row>
    <row r="54" ht="16.6" customHeight="1" s="12">
      <c r="A54" s="28" t="inlineStr">
        <is>
          <t>PG-SEC-03</t>
        </is>
      </c>
      <c r="B54" s="29" t="inlineStr">
        <is>
          <t>Security</t>
        </is>
      </c>
      <c r="C54" s="29" t="inlineStr">
        <is>
          <t>Injection</t>
        </is>
      </c>
      <c r="D54" s="29" t="inlineStr">
        <is>
          <t>SQL / NoSQL / command injection on every input</t>
        </is>
      </c>
      <c r="E54" s="29" t="inlineStr">
        <is>
          <t>Security</t>
        </is>
      </c>
      <c r="F54" s="29" t="inlineStr">
        <is>
          <t>P1</t>
        </is>
      </c>
      <c r="G54" s="29" t="inlineStr">
        <is>
          <t>—</t>
        </is>
      </c>
      <c r="H54" s="29" t="inlineStr">
        <is>
          <t>1. Fuzz all parameters with an injection payload list</t>
        </is>
      </c>
      <c r="I54" s="29" t="inlineStr">
        <is>
          <t>Inputs treated as data; no 500s or data leakage.</t>
        </is>
      </c>
      <c r="J54" s="29" t="inlineStr">
        <is>
          <t>API / DAST</t>
        </is>
      </c>
      <c r="K54" s="29" t="inlineStr">
        <is>
          <t>OWASP ZAP, sqlmap</t>
        </is>
      </c>
      <c r="L54" s="29" t="inlineStr">
        <is>
          <t>TC-LOGIN-011</t>
        </is>
      </c>
      <c r="M54" s="29" t="inlineStr">
        <is>
          <t>Proposed</t>
        </is>
      </c>
    </row>
    <row r="55" ht="29.2" customHeight="1" s="12">
      <c r="A55" s="28" t="inlineStr">
        <is>
          <t>PG-SEC-04</t>
        </is>
      </c>
      <c r="B55" s="29" t="inlineStr">
        <is>
          <t>Security</t>
        </is>
      </c>
      <c r="C55" s="29" t="inlineStr">
        <is>
          <t>PCI-DSS exposure</t>
        </is>
      </c>
      <c r="D55" s="29" t="inlineStr">
        <is>
          <t>PAN masked everywhere it is displayed</t>
        </is>
      </c>
      <c r="E55" s="29" t="inlineStr">
        <is>
          <t>Security</t>
        </is>
      </c>
      <c r="F55" s="29" t="inlineStr">
        <is>
          <t>P1</t>
        </is>
      </c>
      <c r="G55" s="29" t="inlineStr">
        <is>
          <t>Test card</t>
        </is>
      </c>
      <c r="H55" s="29" t="inlineStr">
        <is>
          <t>1. Pay
2. Inspect UI, receipt, email, logs, API responses</t>
        </is>
      </c>
      <c r="I55" s="29" t="inlineStr">
        <is>
          <t>Only first 6 / last 4 shown; no CVV stored anywhere.</t>
        </is>
      </c>
      <c r="J55" s="29" t="inlineStr">
        <is>
          <t>E2E / Log audit</t>
        </is>
      </c>
      <c r="K55" s="29" t="inlineStr">
        <is>
          <t>Playwright, log search</t>
        </is>
      </c>
      <c r="L55" s="29" t="inlineStr">
        <is>
          <t>TC-ORDER-014</t>
        </is>
      </c>
      <c r="M55" s="29" t="inlineStr">
        <is>
          <t>Proposed</t>
        </is>
      </c>
    </row>
    <row r="56" ht="29.2" customHeight="1" s="12">
      <c r="A56" s="28" t="inlineStr">
        <is>
          <t>PG-SEC-05</t>
        </is>
      </c>
      <c r="B56" s="29" t="inlineStr">
        <is>
          <t>Security</t>
        </is>
      </c>
      <c r="C56" s="29" t="inlineStr">
        <is>
          <t>Weak transport</t>
        </is>
      </c>
      <c r="D56" s="29" t="inlineStr">
        <is>
          <t>TLS configuration</t>
        </is>
      </c>
      <c r="E56" s="29" t="inlineStr">
        <is>
          <t>Security</t>
        </is>
      </c>
      <c r="F56" s="29" t="inlineStr">
        <is>
          <t>P2</t>
        </is>
      </c>
      <c r="G56" s="29" t="inlineStr">
        <is>
          <t>Public endpoints</t>
        </is>
      </c>
      <c r="H56" s="29" t="inlineStr">
        <is>
          <t>1. Scan the endpoints</t>
        </is>
      </c>
      <c r="I56" s="29" t="inlineStr">
        <is>
          <t>TLS 1.2+ only; HSTS; no weak ciphers; valid certificates.</t>
        </is>
      </c>
      <c r="J56" s="29" t="inlineStr">
        <is>
          <t>Config audit</t>
        </is>
      </c>
      <c r="K56" s="29" t="inlineStr">
        <is>
          <t>testssl.sh, SSL Labs</t>
        </is>
      </c>
      <c r="L56" s="29" t="inlineStr">
        <is>
          <t>—</t>
        </is>
      </c>
      <c r="M56" s="29" t="inlineStr">
        <is>
          <t>Proposed</t>
        </is>
      </c>
    </row>
    <row r="57" ht="29.2" customHeight="1" s="12">
      <c r="A57" s="28" t="inlineStr">
        <is>
          <t>PG-SEC-06</t>
        </is>
      </c>
      <c r="B57" s="29" t="inlineStr">
        <is>
          <t>Security</t>
        </is>
      </c>
      <c r="C57" s="29" t="inlineStr">
        <is>
          <t>Replay attack</t>
        </is>
      </c>
      <c r="D57" s="29" t="inlineStr">
        <is>
          <t>Signed request replayed later</t>
        </is>
      </c>
      <c r="E57" s="29" t="inlineStr">
        <is>
          <t>Security</t>
        </is>
      </c>
      <c r="F57" s="29" t="inlineStr">
        <is>
          <t>P1</t>
        </is>
      </c>
      <c r="G57" s="29" t="inlineStr">
        <is>
          <t>Request signing with timestamp + nonce</t>
        </is>
      </c>
      <c r="H57" s="29" t="inlineStr">
        <is>
          <t>1. Capture a valid signed request
2. Replay it after 10 min and immediately</t>
        </is>
      </c>
      <c r="I57" s="29" t="inlineStr">
        <is>
          <t>Rejected (stale timestamp / reused nonce); no second payment.</t>
        </is>
      </c>
      <c r="J57" s="29" t="inlineStr">
        <is>
          <t>API</t>
        </is>
      </c>
      <c r="K57" s="29" t="inlineStr">
        <is>
          <t>Playwright API</t>
        </is>
      </c>
      <c r="L57" s="29" t="inlineStr">
        <is>
          <t>TC-CONC-002</t>
        </is>
      </c>
      <c r="M57" s="29" t="inlineStr">
        <is>
          <t>Proposed</t>
        </is>
      </c>
    </row>
    <row r="58" ht="29.2" customHeight="1" s="12">
      <c r="A58" s="28" t="inlineStr">
        <is>
          <t>PG-SEC-07</t>
        </is>
      </c>
      <c r="B58" s="29" t="inlineStr">
        <is>
          <t>Security</t>
        </is>
      </c>
      <c r="C58" s="29" t="inlineStr">
        <is>
          <t>Credential stuffing</t>
        </is>
      </c>
      <c r="D58" s="29" t="inlineStr">
        <is>
          <t>Brute force on login and OTP</t>
        </is>
      </c>
      <c r="E58" s="29" t="inlineStr">
        <is>
          <t>Security</t>
        </is>
      </c>
      <c r="F58" s="29" t="inlineStr">
        <is>
          <t>P1</t>
        </is>
      </c>
      <c r="G58" s="29" t="inlineStr">
        <is>
          <t>Login / OTP endpoints</t>
        </is>
      </c>
      <c r="H58" s="29" t="inlineStr">
        <is>
          <t>1. Send 20 wrong passwords / OTPs</t>
        </is>
      </c>
      <c r="I58" s="29" t="inlineStr">
        <is>
          <t>Lockout or rate limit after N attempts; alert raised; no user enumeration.</t>
        </is>
      </c>
      <c r="J58" s="29" t="inlineStr">
        <is>
          <t>API</t>
        </is>
      </c>
      <c r="K58" s="29" t="inlineStr">
        <is>
          <t>k6, Playwright</t>
        </is>
      </c>
      <c r="L58" s="29" t="inlineStr">
        <is>
          <t>TC-LOGIN-002</t>
        </is>
      </c>
      <c r="M58" s="29" t="inlineStr">
        <is>
          <t>Proposed</t>
        </is>
      </c>
    </row>
    <row r="59" ht="29.2" customHeight="1" s="12">
      <c r="A59" s="28" t="inlineStr">
        <is>
          <t>PG-SEC-08</t>
        </is>
      </c>
      <c r="B59" s="29" t="inlineStr">
        <is>
          <t>Security</t>
        </is>
      </c>
      <c r="C59" s="29" t="inlineStr">
        <is>
          <t>Fraud without SCA</t>
        </is>
      </c>
      <c r="D59" s="29" t="inlineStr">
        <is>
          <t>3-D Secure challenge for risky transactions</t>
        </is>
      </c>
      <c r="E59" s="29" t="inlineStr">
        <is>
          <t>Security</t>
        </is>
      </c>
      <c r="F59" s="29" t="inlineStr">
        <is>
          <t>P1</t>
        </is>
      </c>
      <c r="G59" s="29" t="inlineStr">
        <is>
          <t>3DS test cards (frictionless / challenge / fail)</t>
        </is>
      </c>
      <c r="H59" s="29" t="inlineStr">
        <is>
          <t>1. Pay with each 3DS test card</t>
        </is>
      </c>
      <c r="I59" s="29" t="inlineStr">
        <is>
          <t>Challenge shown when required; failed or abandoned challenge → not captured.</t>
        </is>
      </c>
      <c r="J59" s="29" t="inlineStr">
        <is>
          <t>E2E</t>
        </is>
      </c>
      <c r="K59" s="29" t="inlineStr">
        <is>
          <t>Playwright, acquirer sandbox</t>
        </is>
      </c>
      <c r="L59" s="29" t="inlineStr">
        <is>
          <t>—</t>
        </is>
      </c>
      <c r="M59" s="29" t="inlineStr">
        <is>
          <t>Proposed</t>
        </is>
      </c>
    </row>
    <row r="60" ht="16.6" customHeight="1" s="12">
      <c r="A60" s="28" t="inlineStr">
        <is>
          <t>PG-PERF-01</t>
        </is>
      </c>
      <c r="B60" s="29" t="inlineStr">
        <is>
          <t>Performance</t>
        </is>
      </c>
      <c r="C60" s="29" t="inlineStr">
        <is>
          <t>SLA at peak</t>
        </is>
      </c>
      <c r="D60" s="29" t="inlineStr">
        <is>
          <t>Baseline load at expected peak TPS</t>
        </is>
      </c>
      <c r="E60" s="29" t="inlineStr">
        <is>
          <t>Performance</t>
        </is>
      </c>
      <c r="F60" s="29" t="inlineStr">
        <is>
          <t>P1</t>
        </is>
      </c>
      <c r="G60" s="29" t="inlineStr">
        <is>
          <t>Prod-like staging</t>
        </is>
      </c>
      <c r="H60" s="29" t="inlineStr">
        <is>
          <t>1. Run k6 at the expected peak TPS for 30 min</t>
        </is>
      </c>
      <c r="I60" s="29" t="inlineStr">
        <is>
          <t>p95 &lt; 300 ms, p99 &lt; 800 ms, error rate &lt; 0.1%.</t>
        </is>
      </c>
      <c r="J60" s="29" t="inlineStr">
        <is>
          <t>Load</t>
        </is>
      </c>
      <c r="K60" s="29" t="inlineStr">
        <is>
          <t>k6</t>
        </is>
      </c>
      <c r="L60" s="29" t="inlineStr">
        <is>
          <t>TC-K6-002</t>
        </is>
      </c>
      <c r="M60" s="29" t="inlineStr">
        <is>
          <t>Proposed</t>
        </is>
      </c>
    </row>
    <row r="61" ht="29.2" customHeight="1" s="12">
      <c r="A61" s="28" t="inlineStr">
        <is>
          <t>PG-PERF-02</t>
        </is>
      </c>
      <c r="B61" s="29" t="inlineStr">
        <is>
          <t>Performance</t>
        </is>
      </c>
      <c r="C61" s="29" t="inlineStr">
        <is>
          <t>Flash sale</t>
        </is>
      </c>
      <c r="D61" s="29" t="inlineStr">
        <is>
          <t>Spike to 10x traffic within 10 s</t>
        </is>
      </c>
      <c r="E61" s="29" t="inlineStr">
        <is>
          <t>Performance</t>
        </is>
      </c>
      <c r="F61" s="29" t="inlineStr">
        <is>
          <t>P1</t>
        </is>
      </c>
      <c r="G61" s="29" t="inlineStr">
        <is>
          <t>Autoscaling enabled</t>
        </is>
      </c>
      <c r="H61" s="29" t="inlineStr">
        <is>
          <t>1. Run the k6 spike profile</t>
        </is>
      </c>
      <c r="I61" s="29" t="inlineStr">
        <is>
          <t>No outage; degradation within the agreed budget; recovery to baseline.</t>
        </is>
      </c>
      <c r="J61" s="29" t="inlineStr">
        <is>
          <t>Load</t>
        </is>
      </c>
      <c r="K61" s="29" t="inlineStr">
        <is>
          <t>k6</t>
        </is>
      </c>
      <c r="L61" s="29" t="inlineStr">
        <is>
          <t>TC-K6-003</t>
        </is>
      </c>
      <c r="M61" s="29" t="inlineStr">
        <is>
          <t>Proposed</t>
        </is>
      </c>
    </row>
    <row r="62" ht="29.2" customHeight="1" s="12">
      <c r="A62" s="28" t="inlineStr">
        <is>
          <t>PG-PERF-03</t>
        </is>
      </c>
      <c r="B62" s="29" t="inlineStr">
        <is>
          <t>Performance</t>
        </is>
      </c>
      <c r="C62" s="29" t="inlineStr">
        <is>
          <t>Leaks over time</t>
        </is>
      </c>
      <c r="D62" s="29" t="inlineStr">
        <is>
          <t>Soak test for 4–8 h</t>
        </is>
      </c>
      <c r="E62" s="29" t="inlineStr">
        <is>
          <t>Performance</t>
        </is>
      </c>
      <c r="F62" s="29" t="inlineStr">
        <is>
          <t>P2</t>
        </is>
      </c>
      <c r="G62" s="29" t="inlineStr">
        <is>
          <t>Normal load</t>
        </is>
      </c>
      <c r="H62" s="29" t="inlineStr">
        <is>
          <t>1. Run k6 at 60% of peak for 8 h</t>
        </is>
      </c>
      <c r="I62" s="29" t="inlineStr">
        <is>
          <t>Stable memory, connections and latency; no error growth.</t>
        </is>
      </c>
      <c r="J62" s="29" t="inlineStr">
        <is>
          <t>Load</t>
        </is>
      </c>
      <c r="K62" s="29" t="inlineStr">
        <is>
          <t>k6, Grafana</t>
        </is>
      </c>
      <c r="L62" s="29" t="inlineStr">
        <is>
          <t>—</t>
        </is>
      </c>
      <c r="M62" s="29" t="inlineStr">
        <is>
          <t>Proposed</t>
        </is>
      </c>
    </row>
    <row r="63" ht="29.2" customHeight="1" s="12">
      <c r="A63" s="28" t="inlineStr">
        <is>
          <t>PG-PERF-04</t>
        </is>
      </c>
      <c r="B63" s="29" t="inlineStr">
        <is>
          <t>Performance</t>
        </is>
      </c>
      <c r="C63" s="29" t="inlineStr">
        <is>
          <t>Unknown limits</t>
        </is>
      </c>
      <c r="D63" s="29" t="inlineStr">
        <is>
          <t>Stress to breaking point</t>
        </is>
      </c>
      <c r="E63" s="29" t="inlineStr">
        <is>
          <t>Performance</t>
        </is>
      </c>
      <c r="F63" s="29" t="inlineStr">
        <is>
          <t>P2</t>
        </is>
      </c>
      <c r="G63" s="29" t="inlineStr">
        <is>
          <t>Isolated environment</t>
        </is>
      </c>
      <c r="H63" s="29" t="inlineStr">
        <is>
          <t>1. Increase TPS stepwise until SLA breach</t>
        </is>
      </c>
      <c r="I63" s="29" t="inlineStr">
        <is>
          <t>Max sustainable TPS and the first bottleneck documented; graceful failure (429/503, not crashes).</t>
        </is>
      </c>
      <c r="J63" s="29" t="inlineStr">
        <is>
          <t>Load</t>
        </is>
      </c>
      <c r="K63" s="29" t="inlineStr">
        <is>
          <t>k6</t>
        </is>
      </c>
      <c r="L63" s="29" t="inlineStr">
        <is>
          <t>—</t>
        </is>
      </c>
      <c r="M63" s="29" t="inlineStr">
        <is>
          <t>Proposed</t>
        </is>
      </c>
    </row>
  </sheetData>
  <autoFilter ref="A1:M63"/>
  <conditionalFormatting sqref="L2:L63">
    <cfRule type="expression" priority="1" dxfId="5">
      <formula>AND(L2&lt;&gt;"—",L2&lt;&gt;"")</formula>
    </cfRule>
  </conditionalFormatting>
  <dataValidations count="2">
    <dataValidation sqref="F2:F63" showDropDown="0" showInputMessage="0" showErrorMessage="0" allowBlank="1" type="list">
      <formula1>"P1,P2,P3"</formula1>
    </dataValidation>
    <dataValidation sqref="M2:M63" showDropDown="0" showInputMessage="0" showErrorMessage="0" allowBlank="1" type="list">
      <formula1>"Proposed,In Progress,Automated,N/A"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1" min="1" max="1"/>
    <col width="18" customWidth="1" style="11" min="2" max="2"/>
    <col width="40" customWidth="1" style="11" min="3" max="3"/>
    <col width="10" customWidth="1" style="11" min="4" max="4"/>
    <col width="42" customWidth="1" style="11" min="5" max="5"/>
    <col width="30" customWidth="1" style="11" min="6" max="6"/>
    <col width="38" customWidth="1" style="11" min="7" max="7"/>
    <col width="18" customWidth="1" style="11" min="8" max="8"/>
    <col width="30" customWidth="1" style="11" min="9" max="9"/>
  </cols>
  <sheetData>
    <row r="1" ht="15" customHeight="1" s="12">
      <c r="A1" s="18" t="inlineStr">
        <is>
          <t>ID</t>
        </is>
      </c>
      <c r="B1" s="18" t="inlineStr">
        <is>
          <t>Area</t>
        </is>
      </c>
      <c r="C1" s="18" t="inlineStr">
        <is>
          <t>Summary</t>
        </is>
      </c>
      <c r="D1" s="18" t="inlineStr">
        <is>
          <t>Severity</t>
        </is>
      </c>
      <c r="E1" s="18" t="inlineStr">
        <is>
          <t>Steps to Reproduce</t>
        </is>
      </c>
      <c r="F1" s="18" t="inlineStr">
        <is>
          <t>Expected</t>
        </is>
      </c>
      <c r="G1" s="18" t="inlineStr">
        <is>
          <t>Actual</t>
        </is>
      </c>
      <c r="H1" s="18" t="inlineStr">
        <is>
          <t>Covered by</t>
        </is>
      </c>
      <c r="I1" s="18" t="inlineStr">
        <is>
          <t>Evidence / Status</t>
        </is>
      </c>
    </row>
    <row r="2" ht="35.05" customHeight="1" s="12">
      <c r="A2" s="27" t="inlineStr">
        <is>
          <t>BUG-01</t>
        </is>
      </c>
      <c r="B2" s="27" t="inlineStr">
        <is>
          <t>Place Order</t>
        </is>
      </c>
      <c r="C2" s="27" t="inlineStr">
        <is>
          <t>Receipt date shows the wrong month (zero-based)</t>
        </is>
      </c>
      <c r="D2" s="27" t="inlineStr">
        <is>
          <t>Medium</t>
        </is>
      </c>
      <c r="E2" s="27" t="inlineStr">
        <is>
          <t>Place any order and read 'Date' on the receipt</t>
        </is>
      </c>
      <c r="F2" s="27" t="inlineStr">
        <is>
          <t>Date shows today's month</t>
        </is>
      </c>
      <c r="G2" s="27" t="inlineStr">
        <is>
          <t>Month is one less (JS getMonth() is zero-based); e.g. October shows as 9</t>
        </is>
      </c>
      <c r="H2" s="27" t="inlineStr">
        <is>
          <t>TC-ORDER-011</t>
        </is>
      </c>
      <c r="I2" s="27" t="inlineStr">
        <is>
          <t>Verified live on demoblaze.com (13 Oct 2026): receipt showed 13/9/2026 in October</t>
        </is>
      </c>
    </row>
    <row r="3" ht="35.05" customHeight="1" s="12">
      <c r="A3" s="27" t="inlineStr">
        <is>
          <t>BUG-02</t>
        </is>
      </c>
      <c r="B3" s="27" t="inlineStr">
        <is>
          <t>Place Order</t>
        </is>
      </c>
      <c r="C3" s="27" t="inlineStr">
        <is>
          <t>An order can be placed with an empty cart</t>
        </is>
      </c>
      <c r="D3" s="27" t="inlineStr">
        <is>
          <t>High</t>
        </is>
      </c>
      <c r="E3" s="27" t="inlineStr">
        <is>
          <t>Open an empty cart → Place Order → fill name + card → Purchase</t>
        </is>
      </c>
      <c r="F3" s="27" t="inlineStr">
        <is>
          <t>Purchase blocked</t>
        </is>
      </c>
      <c r="G3" s="27" t="inlineStr">
        <is>
          <t>Receipt is shown with Amount 0</t>
        </is>
      </c>
      <c r="H3" s="27" t="inlineStr">
        <is>
          <t>TC-ORDER-012</t>
        </is>
      </c>
      <c r="I3" s="27" t="inlineStr">
        <is>
          <t>Verified live on demoblaze.com (13 Oct 2026): receipt with Amount 0 USD</t>
        </is>
      </c>
    </row>
    <row r="4" ht="35.05" customHeight="1" s="12">
      <c r="A4" s="27" t="inlineStr">
        <is>
          <t>BUG-03</t>
        </is>
      </c>
      <c r="B4" s="27" t="inlineStr">
        <is>
          <t>Place Order</t>
        </is>
      </c>
      <c r="C4" s="27" t="inlineStr">
        <is>
          <t>No format validation on credit card</t>
        </is>
      </c>
      <c r="D4" s="27" t="inlineStr">
        <is>
          <t>Medium</t>
        </is>
      </c>
      <c r="E4" s="27" t="inlineStr">
        <is>
          <t>Enter 'not-a-card' as card → Purchase</t>
        </is>
      </c>
      <c r="F4" s="27" t="inlineStr">
        <is>
          <t>Validation error</t>
        </is>
      </c>
      <c r="G4" s="27" t="inlineStr">
        <is>
          <t>Order accepted</t>
        </is>
      </c>
      <c r="H4" s="27" t="inlineStr">
        <is>
          <t>TC-ORDER-013</t>
        </is>
      </c>
      <c r="I4" s="27" t="inlineStr">
        <is>
          <t>Verified live on demoblaze.com (13 Oct 2026): card 'not-a-card' accepted</t>
        </is>
      </c>
    </row>
    <row r="5" ht="35.05" customHeight="1" s="12">
      <c r="A5" s="27" t="inlineStr">
        <is>
          <t>BUG-04</t>
        </is>
      </c>
      <c r="B5" s="27" t="inlineStr">
        <is>
          <t>Place Order</t>
        </is>
      </c>
      <c r="C5" s="27" t="inlineStr">
        <is>
          <t>Whitespace-only name passes validation</t>
        </is>
      </c>
      <c r="D5" s="27" t="inlineStr">
        <is>
          <t>Low</t>
        </is>
      </c>
      <c r="E5" s="27" t="inlineStr">
        <is>
          <t>Enter '   ' as name → Purchase</t>
        </is>
      </c>
      <c r="F5" s="27" t="inlineStr">
        <is>
          <t>Treated as empty</t>
        </is>
      </c>
      <c r="G5" s="27" t="inlineStr">
        <is>
          <t>Order accepted</t>
        </is>
      </c>
      <c r="H5" s="27" t="inlineStr">
        <is>
          <t>TC-ORDER-007</t>
        </is>
      </c>
      <c r="I5" s="27" t="inlineStr">
        <is>
          <t>Verified live on demoblaze.com (13 Oct 2026): receipt shows empty 'Name:'</t>
        </is>
      </c>
    </row>
    <row r="6" ht="35.05" customHeight="1" s="12">
      <c r="A6" s="27" t="inlineStr">
        <is>
          <t>BUG-05</t>
        </is>
      </c>
      <c r="B6" s="27" t="inlineStr">
        <is>
          <t>Place Order / Security</t>
        </is>
      </c>
      <c r="C6" s="27" t="inlineStr">
        <is>
          <t>Full card number echoed on the receipt</t>
        </is>
      </c>
      <c r="D6" s="27" t="inlineStr">
        <is>
          <t>Medium</t>
        </is>
      </c>
      <c r="E6" s="27" t="inlineStr">
        <is>
          <t>Place an order; read 'Card Number'</t>
        </is>
      </c>
      <c r="F6" s="27" t="inlineStr">
        <is>
          <t>Masked (last 4 digits)</t>
        </is>
      </c>
      <c r="G6" s="27" t="inlineStr">
        <is>
          <t>Full number displayed</t>
        </is>
      </c>
      <c r="H6" s="27" t="inlineStr">
        <is>
          <t>TC-ORDER-014</t>
        </is>
      </c>
      <c r="I6" s="27" t="inlineStr">
        <is>
          <t>Verified live on demoblaze.com (13 Oct 2026): full 16-digit number shown</t>
        </is>
      </c>
    </row>
    <row r="7" ht="35.05" customHeight="1" s="12">
      <c r="A7" s="27" t="inlineStr">
        <is>
          <t>BUG-06</t>
        </is>
      </c>
      <c r="B7" s="27" t="inlineStr">
        <is>
          <t>Cart</t>
        </is>
      </c>
      <c r="C7" s="27" t="inlineStr">
        <is>
          <t>Inconsistent alert text for add to cart</t>
        </is>
      </c>
      <c r="D7" s="27" t="inlineStr">
        <is>
          <t>Low</t>
        </is>
      </c>
      <c r="E7" s="27" t="inlineStr">
        <is>
          <t>Add a product as guest vs. logged-in user</t>
        </is>
      </c>
      <c r="F7" s="27" t="inlineStr">
        <is>
          <t>Same message</t>
        </is>
      </c>
      <c r="G7" s="27" t="inlineStr">
        <is>
          <t>Guest: 'Product added' / user: 'Product added.'</t>
        </is>
      </c>
      <c r="H7" s="27" t="inlineStr">
        <is>
          <t>TC-CART-001 / 004</t>
        </is>
      </c>
      <c r="I7" s="27" t="inlineStr">
        <is>
          <t>Logged-in alert 'Product added.' verified live; guest variant from prod.js</t>
        </is>
      </c>
    </row>
    <row r="8" ht="41.8" customHeight="1" s="12">
      <c r="A8" s="29" t="inlineStr">
        <is>
          <t>BUG-07</t>
        </is>
      </c>
      <c r="B8" s="29" t="inlineStr">
        <is>
          <t>Cart API / Idempotency</t>
        </is>
      </c>
      <c r="C8" s="29" t="inlineStr">
        <is>
          <t>Reused cart line id silently overwrites the existing line</t>
        </is>
      </c>
      <c r="D8" s="29" t="inlineStr">
        <is>
          <t>High</t>
        </is>
      </c>
      <c r="E8" s="29" t="inlineStr">
        <is>
          <t>POST /addtocart id=X prod_id=1, then POST /addtocart id=X prod_id=10; POST /viewcart</t>
        </is>
      </c>
      <c r="F8" s="29" t="inlineStr">
        <is>
          <t>Second request rejected as a conflicting idempotency key (409/422); original line kept</t>
        </is>
      </c>
      <c r="G8" s="29" t="inlineStr">
        <is>
          <t>Line X now has prod_id=10; no error returned</t>
        </is>
      </c>
      <c r="H8" s="29" t="inlineStr">
        <is>
          <t>TC-CONC-005</t>
        </is>
      </c>
      <c r="I8" s="29" t="inlineStr">
        <is>
          <t>Verified live via API (13 Oct 2026)</t>
        </is>
      </c>
    </row>
    <row r="9" ht="35.05" customHeight="1" s="12">
      <c r="A9" s="29" t="inlineStr">
        <is>
          <t>BUG-08</t>
        </is>
      </c>
      <c r="B9" s="29" t="inlineStr">
        <is>
          <t>Cart / Double submit</t>
        </is>
      </c>
      <c r="C9" s="29" t="inlineStr">
        <is>
          <t>Double-clicking 'Add to cart' adds the product twice</t>
        </is>
      </c>
      <c r="D9" s="29" t="inlineStr">
        <is>
          <t>Medium</t>
        </is>
      </c>
      <c r="E9" s="29" t="inlineStr">
        <is>
          <t>Log in → open a product → double-click 'Add to cart' → open Cart</t>
        </is>
      </c>
      <c r="F9" s="29" t="inlineStr">
        <is>
          <t>Button debounced; one line in the cart</t>
        </is>
      </c>
      <c r="G9" s="29" t="inlineStr">
        <is>
          <t>Two /addtocart requests; 2 identical lines</t>
        </is>
      </c>
      <c r="H9" s="29" t="inlineStr">
        <is>
          <t>TC-CONC-007</t>
        </is>
      </c>
      <c r="I9" s="29" t="inlineStr">
        <is>
          <t>Verified live on Chromium, Firefox and WebKit (13 Oct 2026)</t>
        </is>
      </c>
    </row>
    <row r="10" ht="35.05" customHeight="1" s="12">
      <c r="A10" s="29" t="inlineStr">
        <is>
          <t>BUG-09</t>
        </is>
      </c>
      <c r="B10" s="29" t="inlineStr">
        <is>
          <t>Place Order / Double submit</t>
        </is>
      </c>
      <c r="C10" s="29" t="inlineStr">
        <is>
          <t>Double-clicking 'Purchase' submits the order twice</t>
        </is>
      </c>
      <c r="D10" s="29" t="inlineStr">
        <is>
          <t>High</t>
        </is>
      </c>
      <c r="E10" s="29" t="inlineStr">
        <is>
          <t>Cart with 1 item → Place Order → fill form → double-click 'Purchase'</t>
        </is>
      </c>
      <c r="F10" s="29" t="inlineStr">
        <is>
          <t>One order request; button disabled after first click</t>
        </is>
      </c>
      <c r="G10" s="29" t="inlineStr">
        <is>
          <t>Two /deletecart (order) requests sent — on a real gateway this is a double charge</t>
        </is>
      </c>
      <c r="H10" s="29" t="inlineStr">
        <is>
          <t>TC-CONC-008</t>
        </is>
      </c>
      <c r="I10" s="29" t="inlineStr">
        <is>
          <t>Verified live on Chromium, Firefox and WebKit (13 Oct 2026)</t>
        </is>
      </c>
    </row>
    <row r="11" ht="35.05" customHeight="1" s="12">
      <c r="A11" s="29" t="inlineStr">
        <is>
          <t>BUG-10</t>
        </is>
      </c>
      <c r="B11" s="29" t="inlineStr">
        <is>
          <t>API / Contract</t>
        </is>
      </c>
      <c r="C11" s="29" t="inlineStr">
        <is>
          <t>Errors returned with HTTP 200</t>
        </is>
      </c>
      <c r="D11" s="29" t="inlineStr">
        <is>
          <t>Medium</t>
        </is>
      </c>
      <c r="E11" s="29" t="inlineStr">
        <is>
          <t>POST /login with an unknown user; POST /viewcart with a malformed token</t>
        </is>
      </c>
      <c r="F11" s="29" t="inlineStr">
        <is>
          <t>4xx status (401/404/400) with an error body</t>
        </is>
      </c>
      <c r="G11" s="29" t="inlineStr">
        <is>
          <t>HTTP 200 with { errorMessage } — clients and monitors cannot detect failures by status</t>
        </is>
      </c>
      <c r="H11" s="29" t="inlineStr">
        <is>
          <t>TC-CTR-006</t>
        </is>
      </c>
      <c r="I11" s="29" t="inlineStr">
        <is>
          <t>Verified live via API (13 Oct 2026)</t>
        </is>
      </c>
    </row>
    <row r="12" ht="35.05" customHeight="1" s="12">
      <c r="A12" s="29" t="inlineStr">
        <is>
          <t>BUG-11</t>
        </is>
      </c>
      <c r="B12" s="29" t="inlineStr">
        <is>
          <t>Cart API / Validation</t>
        </is>
      </c>
      <c r="C12" s="29" t="inlineStr">
        <is>
          <t>Non-existent product id accepted by /addtocart</t>
        </is>
      </c>
      <c r="D12" s="29" t="inlineStr">
        <is>
          <t>Medium</t>
        </is>
      </c>
      <c r="E12" s="29" t="inlineStr">
        <is>
          <t>POST /addtocart with prod_id=999999; POST /viewcart</t>
        </is>
      </c>
      <c r="F12" s="29" t="inlineStr">
        <is>
          <t>Request rejected; cart unchanged</t>
        </is>
      </c>
      <c r="G12" s="29" t="inlineStr">
        <is>
          <t>Line stored with prod_id=999999</t>
        </is>
      </c>
      <c r="H12" s="29" t="inlineStr">
        <is>
          <t>TC-CTR-007</t>
        </is>
      </c>
      <c r="I12" s="29" t="inlineStr">
        <is>
          <t>Verified live via API (13 Oct 2026)</t>
        </is>
      </c>
    </row>
    <row r="13">
      <c r="A13" s="27" t="inlineStr">
        <is>
          <t>OBS-01</t>
        </is>
      </c>
      <c r="B13" s="27" t="inlineStr">
        <is>
          <t>Login / Security</t>
        </is>
      </c>
      <c r="C13" s="27" t="inlineStr">
        <is>
          <t>Password only base64-encoded client-side</t>
        </is>
      </c>
      <c r="D13" s="27" t="inlineStr">
        <is>
          <t>Info</t>
        </is>
      </c>
      <c r="E13" s="27" t="inlineStr">
        <is>
          <t>Inspect POST /login payload</t>
        </is>
      </c>
      <c r="F13" s="27" t="inlineStr">
        <is>
          <t>Password protected by TLS only; no reversible encoding implying security</t>
        </is>
      </c>
      <c r="G13" s="27" t="inlineStr">
        <is>
          <t>Base64 of the password sent (reversible); acceptable over HTTPS but misleading</t>
        </is>
      </c>
      <c r="H13" s="27" t="inlineStr">
        <is>
          <t>TC-LOGIN-023 (related)</t>
        </is>
      </c>
      <c r="I13" s="27" t="inlineStr">
        <is>
          <t>Observation, not a functional defect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2026-10-13T08:41:03Z</dcterms:created>
  <dcterms:modified xsi:type="dcterms:W3CDTF">2026-10-13T13:28:34Z</dcterms:modified>
  <cp:revision>0</cp:revision>
</cp:coreProperties>
</file>